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ient Projects" sheetId="2" state="visible" r:id="rId2"/>
    <sheet xmlns:r="http://schemas.openxmlformats.org/officeDocument/2006/relationships" name="Creators" sheetId="3" state="visible" r:id="rId3"/>
    <sheet xmlns:r="http://schemas.openxmlformats.org/officeDocument/2006/relationships" name="Creator Applications" sheetId="4" state="visible" r:id="rId4"/>
    <sheet xmlns:r="http://schemas.openxmlformats.org/officeDocument/2006/relationships" name="Deliveries Pipeline" sheetId="5" state="visible" r:id="rId5"/>
    <sheet xmlns:r="http://schemas.openxmlformats.org/officeDocument/2006/relationships" name="Revenue &amp; Invoices" sheetId="6" state="visible" r:id="rId6"/>
    <sheet xmlns:r="http://schemas.openxmlformats.org/officeDocument/2006/relationships" name="Apps Script Co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"/>
    <numFmt numFmtId="166" formatCode="YYYY-MM-DD"/>
    <numFmt numFmtId="167" formatCode="$#,##0.00"/>
    <numFmt numFmtId="168" formatCode="0.0"/>
  </numFmts>
  <fonts count="24">
    <font>
      <name val="Calibri"/>
      <family val="2"/>
      <color theme="1"/>
      <sz val="11"/>
      <scheme val="minor"/>
    </font>
    <font>
      <b val="1"/>
      <color rgb="0000C9C8"/>
      <sz val="20"/>
    </font>
    <font>
      <b val="1"/>
      <i val="1"/>
      <color rgb="00FFD700"/>
      <sz val="11"/>
    </font>
    <font>
      <color rgb="00D0D0D0"/>
      <sz val="9"/>
    </font>
    <font>
      <b val="1"/>
      <color rgb="00FFFFFF"/>
      <sz val="10"/>
    </font>
    <font>
      <b val="1"/>
      <color rgb="0000C9C8"/>
      <sz val="22"/>
    </font>
    <font>
      <i val="1"/>
      <color rgb="00D0D0D0"/>
      <sz val="8"/>
    </font>
    <font>
      <b val="1"/>
      <color rgb="00FFFFFF"/>
      <sz val="11"/>
    </font>
    <font>
      <b val="1"/>
      <color rgb="00FFFFFF"/>
    </font>
    <font>
      <b val="1"/>
      <color rgb="00FFFFFF"/>
      <sz val="14"/>
    </font>
    <font>
      <b val="1"/>
    </font>
    <font>
      <name val="Calibri"/>
      <family val="2"/>
      <color theme="10"/>
      <sz val="12"/>
      <scheme val="minor"/>
    </font>
    <font>
      <b val="1"/>
      <color rgb="00006100"/>
    </font>
    <font>
      <b val="1"/>
      <color rgb="009C0006"/>
    </font>
    <font>
      <b val="1"/>
      <color rgb="009C5700"/>
    </font>
    <font>
      <b val="1"/>
      <color rgb="00FFFFFF"/>
      <sz val="12"/>
    </font>
    <font>
      <i val="1"/>
      <color rgb="00D0D0D0"/>
      <sz val="9"/>
    </font>
    <font>
      <b val="1"/>
      <color rgb="0000C9C8"/>
      <sz val="10"/>
    </font>
    <font>
      <name val="Courier New"/>
      <color rgb="00D4D4D4"/>
      <sz val="9"/>
    </font>
    <font>
      <i val="1"/>
      <color rgb="006A9955"/>
    </font>
    <font>
      <b val="1"/>
      <color rgb="00FFD700"/>
      <sz val="10"/>
    </font>
    <font>
      <name val="Courier New"/>
      <color rgb="00D0D0D0"/>
      <sz val="9"/>
    </font>
    <font>
      <b val="1"/>
      <color rgb="0000C9C8"/>
    </font>
    <font>
      <i val="1"/>
      <color rgb="00555555"/>
      <sz val="8"/>
    </font>
  </fonts>
  <fills count="11">
    <fill>
      <patternFill/>
    </fill>
    <fill>
      <patternFill patternType="gray125"/>
    </fill>
    <fill>
      <patternFill patternType="solid">
        <fgColor rgb="002B2B2B"/>
        <bgColor rgb="002B2B2B"/>
      </patternFill>
    </fill>
    <fill>
      <patternFill patternType="solid">
        <fgColor rgb="00007F7F"/>
        <bgColor rgb="00007F7F"/>
      </patternFill>
    </fill>
    <fill>
      <patternFill patternType="solid">
        <fgColor rgb="00E0FAFA"/>
        <bgColor rgb="00E0FAFA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1E1E1E"/>
        <bgColor rgb="001E1E1E"/>
      </patternFill>
    </fill>
    <fill>
      <patternFill patternType="solid">
        <fgColor rgb="00F4F4F4"/>
        <bgColor rgb="00F4F4F4"/>
      </patternFill>
    </fill>
  </fills>
  <borders count="36">
    <border>
      <left/>
      <right/>
      <top/>
      <bottom/>
      <diagonal/>
    </border>
    <border>
      <left style="medium">
        <color rgb="00007F7F"/>
      </left>
      <right/>
      <top style="medium">
        <color rgb="00007F7F"/>
      </top>
      <bottom/>
    </border>
    <border>
      <left/>
      <right/>
      <top style="medium">
        <color rgb="00007F7F"/>
      </top>
      <bottom/>
    </border>
    <border>
      <left/>
      <right style="medium">
        <color rgb="00007F7F"/>
      </right>
      <top style="medium">
        <color rgb="00007F7F"/>
      </top>
      <bottom/>
    </border>
    <border>
      <left style="medium">
        <color rgb="00007F7F"/>
      </left>
      <right/>
      <top/>
      <bottom/>
    </border>
    <border>
      <left/>
      <right/>
      <top/>
      <bottom/>
    </border>
    <border>
      <left/>
      <right style="medium">
        <color rgb="00007F7F"/>
      </right>
      <top/>
      <bottom/>
    </border>
    <border>
      <left style="medium">
        <color rgb="00007F7F"/>
      </left>
      <right/>
      <top/>
      <bottom style="medium">
        <color rgb="00007F7F"/>
      </bottom>
    </border>
    <border>
      <left/>
      <right/>
      <top/>
      <bottom style="medium">
        <color rgb="00007F7F"/>
      </bottom>
    </border>
    <border>
      <left/>
      <right style="medium">
        <color rgb="00007F7F"/>
      </right>
      <top/>
      <bottom style="medium">
        <color rgb="00007F7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7F7F"/>
      </left>
      <right style="thin">
        <color rgb="00000000"/>
      </right>
      <top style="medium">
        <color rgb="00007F7F"/>
      </top>
      <bottom style="thin">
        <color rgb="00000000"/>
      </bottom>
    </border>
    <border>
      <left style="thin">
        <color rgb="00000000"/>
      </left>
      <right style="medium">
        <color rgb="00007F7F"/>
      </right>
      <top style="medium">
        <color rgb="00007F7F"/>
      </top>
      <bottom style="thin">
        <color rgb="00000000"/>
      </bottom>
    </border>
    <border>
      <left style="medium">
        <color rgb="00007F7F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7F7F"/>
      </right>
      <top style="thin">
        <color rgb="00000000"/>
      </top>
      <bottom style="thin">
        <color rgb="00000000"/>
      </bottom>
    </border>
    <border>
      <left style="medium">
        <color rgb="00007F7F"/>
      </left>
      <right style="thin">
        <color rgb="00000000"/>
      </right>
      <top style="thin">
        <color rgb="00000000"/>
      </top>
      <bottom style="medium">
        <color rgb="00007F7F"/>
      </bottom>
    </border>
    <border>
      <left style="thin">
        <color rgb="00000000"/>
      </left>
      <right style="medium">
        <color rgb="00007F7F"/>
      </right>
      <top style="thin">
        <color rgb="00000000"/>
      </top>
      <bottom style="medium">
        <color rgb="00007F7F"/>
      </bottom>
    </border>
    <border>
      <left style="thin">
        <color rgb="00000000"/>
      </left>
      <right style="thin">
        <color rgb="00000000"/>
      </right>
      <top style="medium">
        <color rgb="00007F7F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7F7F"/>
      </bottom>
    </border>
    <border>
      <left style="medium">
        <color rgb="00007F7F"/>
      </left>
      <right style="medium">
        <color rgb="00007F7F"/>
      </right>
      <top style="medium">
        <color rgb="00007F7F"/>
      </top>
      <bottom/>
    </border>
    <border>
      <left/>
      <right/>
      <top style="medium">
        <color rgb="00007F7F"/>
      </top>
      <bottom/>
      <diagonal/>
    </border>
    <border>
      <left/>
      <right style="medium">
        <color rgb="00007F7F"/>
      </right>
      <top style="medium">
        <color rgb="00007F7F"/>
      </top>
      <bottom/>
      <diagonal/>
    </border>
    <border>
      <left style="medium">
        <color rgb="00007F7F"/>
      </left>
      <right style="medium">
        <color rgb="00007F7F"/>
      </right>
      <top/>
      <bottom/>
    </border>
    <border>
      <left/>
      <right style="medium">
        <color rgb="00007F7F"/>
      </right>
      <top/>
      <bottom/>
      <diagonal/>
    </border>
    <border>
      <left style="medium">
        <color rgb="00007F7F"/>
      </left>
      <right style="medium">
        <color rgb="00007F7F"/>
      </right>
      <top/>
      <bottom style="medium">
        <color rgb="00007F7F"/>
      </bottom>
    </border>
    <border>
      <left/>
      <right/>
      <top/>
      <bottom style="medium">
        <color rgb="00007F7F"/>
      </bottom>
      <diagonal/>
    </border>
    <border>
      <left/>
      <right style="medium">
        <color rgb="00007F7F"/>
      </right>
      <top/>
      <bottom style="medium">
        <color rgb="00007F7F"/>
      </bottom>
      <diagonal/>
    </border>
    <border>
      <left style="thick">
        <color rgb="00007F7F"/>
      </left>
      <right/>
      <top style="thick">
        <color rgb="00007F7F"/>
      </top>
      <bottom style="thick">
        <color rgb="00007F7F"/>
      </bottom>
    </border>
    <border>
      <left/>
      <right/>
      <top style="thick">
        <color rgb="00007F7F"/>
      </top>
      <bottom style="thick">
        <color rgb="00007F7F"/>
      </bottom>
    </border>
    <border>
      <left/>
      <right style="thick">
        <color rgb="00007F7F"/>
      </right>
      <top style="thick">
        <color rgb="00007F7F"/>
      </top>
      <bottom style="thick">
        <color rgb="00007F7F"/>
      </bottom>
    </border>
    <border>
      <left style="thick">
        <color rgb="00007F7F"/>
      </left>
      <right/>
      <top style="medium">
        <color rgb="00000000"/>
      </top>
      <bottom style="thick">
        <color rgb="00007F7F"/>
      </bottom>
    </border>
    <border>
      <left/>
      <right/>
      <top style="medium">
        <color rgb="00000000"/>
      </top>
      <bottom style="thick">
        <color rgb="00007F7F"/>
      </bottom>
    </border>
    <border>
      <left/>
      <right style="thick">
        <color rgb="00007F7F"/>
      </right>
      <top style="medium">
        <color rgb="00000000"/>
      </top>
      <bottom style="thick">
        <color rgb="00007F7F"/>
      </bottom>
    </border>
    <border>
      <left/>
      <right style="thin">
        <color rgb="00000000"/>
      </right>
      <top style="medium">
        <color rgb="00007F7F"/>
      </top>
      <bottom/>
      <diagonal/>
    </border>
    <border>
      <left/>
      <right/>
      <top style="medium">
        <color rgb="00007F7F"/>
      </top>
      <bottom style="thin">
        <color rgb="00000000"/>
      </bottom>
      <diagonal/>
    </border>
    <border>
      <left/>
      <right style="thin">
        <color rgb="00000000"/>
      </right>
      <top style="medium">
        <color rgb="00007F7F"/>
      </top>
      <bottom style="thin">
        <color rgb="00000000"/>
      </bottom>
      <diagonal/>
    </border>
  </borders>
  <cellStyleXfs count="2">
    <xf numFmtId="0" fontId="0" fillId="0" borderId="0"/>
    <xf numFmtId="0" fontId="11" fillId="0" borderId="0"/>
  </cellStyleXfs>
  <cellXfs count="13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1" fontId="5" fillId="2" borderId="4" applyAlignment="1" pivotButton="0" quotePrefix="0" xfId="0">
      <alignment horizontal="center"/>
    </xf>
    <xf numFmtId="1" fontId="5" fillId="2" borderId="5" applyAlignment="1" pivotButton="0" quotePrefix="0" xfId="0">
      <alignment horizontal="center"/>
    </xf>
    <xf numFmtId="1" fontId="5" fillId="2" borderId="6" applyAlignment="1" pivotButton="0" quotePrefix="0" xfId="0">
      <alignment horizontal="center"/>
    </xf>
    <xf numFmtId="164" fontId="5" fillId="2" borderId="4" applyAlignment="1" pivotButton="0" quotePrefix="0" xfId="0">
      <alignment horizontal="center"/>
    </xf>
    <xf numFmtId="164" fontId="5" fillId="2" borderId="5" applyAlignment="1" pivotButton="0" quotePrefix="0" xfId="0">
      <alignment horizontal="center"/>
    </xf>
    <xf numFmtId="164" fontId="5" fillId="2" borderId="6" applyAlignment="1" pivotButton="0" quotePrefix="0" xfId="0">
      <alignment horizontal="center"/>
    </xf>
    <xf numFmtId="165" fontId="5" fillId="2" borderId="4" applyAlignment="1" pivotButton="0" quotePrefix="0" xfId="0">
      <alignment horizontal="center"/>
    </xf>
    <xf numFmtId="165" fontId="5" fillId="2" borderId="5" applyAlignment="1" pivotButton="0" quotePrefix="0" xfId="0">
      <alignment horizontal="center"/>
    </xf>
    <xf numFmtId="165" fontId="5" fillId="2" borderId="6" applyAlignment="1" pivotButton="0" quotePrefix="0" xfId="0">
      <alignment horizontal="center"/>
    </xf>
    <xf numFmtId="0" fontId="6" fillId="2" borderId="7" applyAlignment="1" pivotButton="0" quotePrefix="0" xfId="0">
      <alignment horizontal="center"/>
    </xf>
    <xf numFmtId="0" fontId="6" fillId="2" borderId="8" applyAlignment="1" pivotButton="0" quotePrefix="0" xfId="0">
      <alignment horizontal="center"/>
    </xf>
    <xf numFmtId="0" fontId="6" fillId="2" borderId="9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8" fillId="3" borderId="11" applyAlignment="1" pivotButton="0" quotePrefix="0" xfId="0">
      <alignment horizontal="center"/>
    </xf>
    <xf numFmtId="0" fontId="8" fillId="3" borderId="12" applyAlignment="1" pivotButton="0" quotePrefix="0" xfId="0">
      <alignment horizontal="center"/>
    </xf>
    <xf numFmtId="0" fontId="8" fillId="3" borderId="17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0" fillId="4" borderId="13" pivotButton="0" quotePrefix="0" xfId="0"/>
    <xf numFmtId="0" fontId="0" fillId="4" borderId="14" pivotButton="0" quotePrefix="0" xfId="0"/>
    <xf numFmtId="165" fontId="0" fillId="4" borderId="10" pivotButton="0" quotePrefix="0" xfId="0"/>
    <xf numFmtId="165" fontId="0" fillId="4" borderId="14" pivotButton="0" quotePrefix="0" xfId="0"/>
    <xf numFmtId="0" fontId="0" fillId="5" borderId="13" pivotButton="0" quotePrefix="0" xfId="0"/>
    <xf numFmtId="0" fontId="0" fillId="5" borderId="14" pivotButton="0" quotePrefix="0" xfId="0"/>
    <xf numFmtId="165" fontId="0" fillId="5" borderId="10" pivotButton="0" quotePrefix="0" xfId="0"/>
    <xf numFmtId="165" fontId="0" fillId="5" borderId="14" pivotButton="0" quotePrefix="0" xfId="0"/>
    <xf numFmtId="0" fontId="0" fillId="5" borderId="15" pivotButton="0" quotePrefix="0" xfId="0"/>
    <xf numFmtId="0" fontId="0" fillId="5" borderId="16" pivotButton="0" quotePrefix="0" xfId="0"/>
    <xf numFmtId="165" fontId="0" fillId="5" borderId="18" pivotButton="0" quotePrefix="0" xfId="0"/>
    <xf numFmtId="165" fontId="0" fillId="5" borderId="16" pivotButton="0" quotePrefix="0" xfId="0"/>
    <xf numFmtId="0" fontId="4" fillId="3" borderId="19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1" fontId="5" fillId="2" borderId="22" applyAlignment="1" pivotButton="0" quotePrefix="0" xfId="0">
      <alignment horizontal="center"/>
    </xf>
    <xf numFmtId="0" fontId="0" fillId="0" borderId="23" pivotButton="0" quotePrefix="0" xfId="0"/>
    <xf numFmtId="164" fontId="5" fillId="2" borderId="22" applyAlignment="1" pivotButton="0" quotePrefix="0" xfId="0">
      <alignment horizontal="center"/>
    </xf>
    <xf numFmtId="165" fontId="5" fillId="2" borderId="22" applyAlignment="1" pivotButton="0" quotePrefix="0" xfId="0">
      <alignment horizontal="center"/>
    </xf>
    <xf numFmtId="0" fontId="6" fillId="2" borderId="24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9" fillId="2" borderId="0" applyAlignment="1" pivotButton="0" quotePrefix="0" xfId="0">
      <alignment horizontal="center"/>
    </xf>
    <xf numFmtId="166" fontId="0" fillId="4" borderId="10" pivotButton="0" quotePrefix="0" xfId="0"/>
    <xf numFmtId="0" fontId="0" fillId="4" borderId="10" pivotButton="0" quotePrefix="0" xfId="0"/>
    <xf numFmtId="167" fontId="0" fillId="4" borderId="10" pivotButton="0" quotePrefix="0" xfId="0"/>
    <xf numFmtId="1" fontId="10" fillId="4" borderId="14" pivotButton="0" quotePrefix="0" xfId="0"/>
    <xf numFmtId="166" fontId="0" fillId="5" borderId="10" pivotButton="0" quotePrefix="0" xfId="0"/>
    <xf numFmtId="0" fontId="0" fillId="5" borderId="10" pivotButton="0" quotePrefix="0" xfId="0"/>
    <xf numFmtId="167" fontId="0" fillId="5" borderId="10" pivotButton="0" quotePrefix="0" xfId="0"/>
    <xf numFmtId="1" fontId="10" fillId="5" borderId="14" pivotButton="0" quotePrefix="0" xfId="0"/>
    <xf numFmtId="0" fontId="0" fillId="4" borderId="15" pivotButton="0" quotePrefix="0" xfId="0"/>
    <xf numFmtId="166" fontId="0" fillId="4" borderId="18" pivotButton="0" quotePrefix="0" xfId="0"/>
    <xf numFmtId="0" fontId="0" fillId="4" borderId="18" pivotButton="0" quotePrefix="0" xfId="0"/>
    <xf numFmtId="167" fontId="0" fillId="4" borderId="18" pivotButton="0" quotePrefix="0" xfId="0"/>
    <xf numFmtId="1" fontId="10" fillId="4" borderId="16" pivotButton="0" quotePrefix="0" xfId="0"/>
    <xf numFmtId="166" fontId="0" fillId="4" borderId="10" pivotButton="0" quotePrefix="0" xfId="0"/>
    <xf numFmtId="167" fontId="0" fillId="4" borderId="10" pivotButton="0" quotePrefix="0" xfId="0"/>
    <xf numFmtId="166" fontId="0" fillId="5" borderId="10" pivotButton="0" quotePrefix="0" xfId="0"/>
    <xf numFmtId="167" fontId="0" fillId="5" borderId="10" pivotButton="0" quotePrefix="0" xfId="0"/>
    <xf numFmtId="166" fontId="0" fillId="4" borderId="18" pivotButton="0" quotePrefix="0" xfId="0"/>
    <xf numFmtId="167" fontId="0" fillId="4" borderId="18" pivotButton="0" quotePrefix="0" xfId="0"/>
    <xf numFmtId="0" fontId="11" fillId="4" borderId="10" pivotButton="0" quotePrefix="0" xfId="1"/>
    <xf numFmtId="0" fontId="12" fillId="6" borderId="10" pivotButton="0" quotePrefix="0" xfId="0"/>
    <xf numFmtId="168" fontId="0" fillId="4" borderId="10" pivotButton="0" quotePrefix="0" xfId="0"/>
    <xf numFmtId="0" fontId="11" fillId="5" borderId="10" pivotButton="0" quotePrefix="0" xfId="1"/>
    <xf numFmtId="168" fontId="0" fillId="5" borderId="10" pivotButton="0" quotePrefix="0" xfId="0"/>
    <xf numFmtId="0" fontId="13" fillId="7" borderId="10" pivotButton="0" quotePrefix="0" xfId="0"/>
    <xf numFmtId="0" fontId="0" fillId="5" borderId="18" pivotButton="0" quotePrefix="0" xfId="0"/>
    <xf numFmtId="0" fontId="11" fillId="5" borderId="18" pivotButton="0" quotePrefix="0" xfId="1"/>
    <xf numFmtId="167" fontId="0" fillId="5" borderId="18" pivotButton="0" quotePrefix="0" xfId="0"/>
    <xf numFmtId="0" fontId="14" fillId="8" borderId="18" pivotButton="0" quotePrefix="0" xfId="0"/>
    <xf numFmtId="168" fontId="0" fillId="5" borderId="18" pivotButton="0" quotePrefix="0" xfId="0"/>
    <xf numFmtId="166" fontId="0" fillId="4" borderId="13" pivotButton="0" quotePrefix="0" xfId="0"/>
    <xf numFmtId="0" fontId="14" fillId="8" borderId="10" pivotButton="0" quotePrefix="0" xfId="0"/>
    <xf numFmtId="166" fontId="0" fillId="5" borderId="15" pivotButton="0" quotePrefix="0" xfId="0"/>
    <xf numFmtId="166" fontId="0" fillId="5" borderId="13" pivotButton="0" quotePrefix="0" xfId="0"/>
    <xf numFmtId="166" fontId="0" fillId="4" borderId="15" pivotButton="0" quotePrefix="0" xfId="0"/>
    <xf numFmtId="0" fontId="0" fillId="4" borderId="16" pivotButton="0" quotePrefix="0" xfId="0"/>
    <xf numFmtId="0" fontId="8" fillId="3" borderId="11" applyAlignment="1" pivotButton="0" quotePrefix="0" xfId="0">
      <alignment horizontal="center" wrapText="1"/>
    </xf>
    <xf numFmtId="0" fontId="8" fillId="3" borderId="17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1" fontId="0" fillId="4" borderId="10" pivotButton="0" quotePrefix="0" xfId="0"/>
    <xf numFmtId="167" fontId="0" fillId="4" borderId="14" pivotButton="0" quotePrefix="0" xfId="0"/>
    <xf numFmtId="1" fontId="0" fillId="5" borderId="10" pivotButton="0" quotePrefix="0" xfId="0"/>
    <xf numFmtId="167" fontId="0" fillId="5" borderId="14" pivotButton="0" quotePrefix="0" xfId="0"/>
    <xf numFmtId="1" fontId="0" fillId="5" borderId="18" pivotButton="0" quotePrefix="0" xfId="0"/>
    <xf numFmtId="167" fontId="0" fillId="5" borderId="16" pivotButton="0" quotePrefix="0" xfId="0"/>
    <xf numFmtId="0" fontId="8" fillId="2" borderId="30" pivotButton="0" quotePrefix="0" xfId="0"/>
    <xf numFmtId="0" fontId="8" fillId="2" borderId="31" pivotButton="0" quotePrefix="0" xfId="0"/>
    <xf numFmtId="167" fontId="8" fillId="2" borderId="31" pivotButton="0" quotePrefix="0" xfId="0"/>
    <xf numFmtId="167" fontId="8" fillId="2" borderId="32" pivotButton="0" quotePrefix="0" xfId="0"/>
    <xf numFmtId="0" fontId="15" fillId="3" borderId="11" applyAlignment="1" pivotButton="0" quotePrefix="0" xfId="0">
      <alignment horizontal="center"/>
    </xf>
    <xf numFmtId="0" fontId="15" fillId="3" borderId="17" applyAlignment="1" pivotButton="0" quotePrefix="0" xfId="0">
      <alignment horizontal="center"/>
    </xf>
    <xf numFmtId="0" fontId="15" fillId="3" borderId="12" applyAlignment="1" pivotButton="0" quotePrefix="0" xfId="0">
      <alignment horizontal="center"/>
    </xf>
    <xf numFmtId="0" fontId="10" fillId="4" borderId="13" pivotButton="0" quotePrefix="0" xfId="0"/>
    <xf numFmtId="0" fontId="10" fillId="5" borderId="13" pivotButton="0" quotePrefix="0" xfId="0"/>
    <xf numFmtId="0" fontId="10" fillId="4" borderId="15" pivotButton="0" quotePrefix="0" xfId="0"/>
    <xf numFmtId="0" fontId="0" fillId="0" borderId="34" pivotButton="0" quotePrefix="0" xfId="0"/>
    <xf numFmtId="0" fontId="0" fillId="0" borderId="35" pivotButton="0" quotePrefix="0" xfId="0"/>
    <xf numFmtId="0" fontId="2" fillId="3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wrapText="1"/>
    </xf>
    <xf numFmtId="0" fontId="1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wrapText="1"/>
    </xf>
    <xf numFmtId="0" fontId="18" fillId="9" borderId="1" applyAlignment="1" pivotButton="0" quotePrefix="0" xfId="0">
      <alignment horizontal="left"/>
    </xf>
    <xf numFmtId="0" fontId="18" fillId="9" borderId="2" applyAlignment="1" pivotButton="0" quotePrefix="0" xfId="0">
      <alignment horizontal="left"/>
    </xf>
    <xf numFmtId="0" fontId="18" fillId="9" borderId="3" applyAlignment="1" pivotButton="0" quotePrefix="0" xfId="0">
      <alignment horizontal="left"/>
    </xf>
    <xf numFmtId="0" fontId="19" fillId="9" borderId="4" applyAlignment="1" pivotButton="0" quotePrefix="0" xfId="0">
      <alignment horizontal="left"/>
    </xf>
    <xf numFmtId="0" fontId="18" fillId="9" borderId="5" applyAlignment="1" pivotButton="0" quotePrefix="0" xfId="0">
      <alignment horizontal="left"/>
    </xf>
    <xf numFmtId="0" fontId="18" fillId="9" borderId="6" applyAlignment="1" pivotButton="0" quotePrefix="0" xfId="0">
      <alignment horizontal="left"/>
    </xf>
    <xf numFmtId="0" fontId="18" fillId="9" borderId="4" applyAlignment="1" pivotButton="0" quotePrefix="0" xfId="0">
      <alignment horizontal="left"/>
    </xf>
    <xf numFmtId="0" fontId="18" fillId="9" borderId="7" applyAlignment="1" pivotButton="0" quotePrefix="0" xfId="0">
      <alignment horizontal="left"/>
    </xf>
    <xf numFmtId="0" fontId="18" fillId="9" borderId="8" applyAlignment="1" pivotButton="0" quotePrefix="0" xfId="0">
      <alignment horizontal="left"/>
    </xf>
    <xf numFmtId="0" fontId="18" fillId="9" borderId="9" applyAlignment="1" pivotButton="0" quotePrefix="0" xfId="0">
      <alignment horizontal="left"/>
    </xf>
    <xf numFmtId="0" fontId="20" fillId="2" borderId="0" applyAlignment="1" pivotButton="0" quotePrefix="0" xfId="0">
      <alignment horizontal="left"/>
    </xf>
    <xf numFmtId="0" fontId="21" fillId="2" borderId="0" applyAlignment="1" pivotButton="0" quotePrefix="0" xfId="0">
      <alignment horizontal="left"/>
    </xf>
    <xf numFmtId="0" fontId="4" fillId="3" borderId="19" applyAlignment="1" pivotButton="0" quotePrefix="0" xfId="0">
      <alignment/>
    </xf>
    <xf numFmtId="0" fontId="0" fillId="0" borderId="20" applyAlignment="1" pivotButton="0" quotePrefix="0" xfId="0">
      <alignment/>
    </xf>
    <xf numFmtId="0" fontId="0" fillId="0" borderId="21" applyAlignment="1" pivotButton="0" quotePrefix="0" xfId="0">
      <alignment/>
    </xf>
    <xf numFmtId="1" fontId="5" fillId="2" borderId="22" applyAlignment="1" pivotButton="0" quotePrefix="0" xfId="0">
      <alignment/>
    </xf>
    <xf numFmtId="0" fontId="0" fillId="0" borderId="0" applyAlignment="1" pivotButton="0" quotePrefix="0" xfId="0">
      <alignment/>
    </xf>
    <xf numFmtId="0" fontId="0" fillId="0" borderId="23" applyAlignment="1" pivotButton="0" quotePrefix="0" xfId="0">
      <alignment/>
    </xf>
    <xf numFmtId="164" fontId="5" fillId="2" borderId="22" applyAlignment="1" pivotButton="0" quotePrefix="0" xfId="0">
      <alignment/>
    </xf>
    <xf numFmtId="165" fontId="5" fillId="2" borderId="22" applyAlignment="1" pivotButton="0" quotePrefix="0" xfId="0">
      <alignment/>
    </xf>
    <xf numFmtId="0" fontId="6" fillId="2" borderId="24" applyAlignment="1" pivotButton="0" quotePrefix="0" xfId="0">
      <alignment/>
    </xf>
    <xf numFmtId="0" fontId="0" fillId="0" borderId="25" applyAlignment="1" pivotButton="0" quotePrefix="0" xfId="0">
      <alignment/>
    </xf>
    <xf numFmtId="0" fontId="0" fillId="0" borderId="26" applyAlignment="1" pivotButton="0" quotePrefix="0" xfId="0">
      <alignment/>
    </xf>
    <xf numFmtId="0" fontId="23" fillId="10" borderId="0" applyAlignment="1" pivotButton="0" quotePrefix="0" xfId="0">
      <alignment horizontal="center"/>
    </xf>
    <xf numFmtId="0" fontId="8" fillId="2" borderId="0" pivotButton="0" quotePrefix="0" xfId="0"/>
    <xf numFmtId="0" fontId="22" fillId="2" borderId="0" pivotButton="0" quotePrefix="0" xfId="0"/>
    <xf numFmtId="0" fontId="18" fillId="9" borderId="19" applyAlignment="1" pivotButton="0" quotePrefix="0" xfId="0">
      <alignment horizontal="left"/>
    </xf>
    <xf numFmtId="0" fontId="19" fillId="9" borderId="22" applyAlignment="1" pivotButton="0" quotePrefix="0" xfId="0">
      <alignment horizontal="left"/>
    </xf>
    <xf numFmtId="0" fontId="18" fillId="9" borderId="22" applyAlignment="1" pivotButton="0" quotePrefix="0" xfId="0">
      <alignment horizontal="left"/>
    </xf>
    <xf numFmtId="0" fontId="18" fillId="9" borderId="24" applyAlignment="1" pivotButton="0" quotePrefix="0" xfId="0">
      <alignment horizontal="left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Projects by Service Type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solidFill xmlns:a="http://schemas.openxmlformats.org/drawingml/2006/main">
              <a:srgbClr val="00C9C8"/>
            </a:solidFill>
            <a:ln xmlns:a="http://schemas.openxmlformats.org/drawingml/2006/main"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Service Type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Project Count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Monthly Revenue Trend 2026 ($)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'Dashboard'!M10</f>
            </strRef>
          </tx>
          <spPr>
            <a:solidFill xmlns:a="http://schemas.openxmlformats.org/drawingml/2006/main">
              <a:srgbClr val="00C9C8"/>
            </a:solidFill>
            <a:ln xmlns:a="http://schemas.openxmlformats.org/drawingml/2006/main">
              <a:solidFill>
                <a:srgbClr val="00C9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'Dashboard'!$I$11:$I$22</f>
            </numRef>
          </cat>
          <val>
            <numRef>
              <f>'Dashboard'!$M$11:$M$22</f>
            </numRef>
          </val>
        </ser>
        <ser>
          <idx val="1"/>
          <order val="1"/>
          <tx>
            <strRef>
              <f>'Dashboard'!N10</f>
            </strRef>
          </tx>
          <spPr>
            <a:solidFill xmlns:a="http://schemas.openxmlformats.org/drawingml/2006/main">
              <a:srgbClr val="007F7F"/>
            </a:solidFill>
            <a:ln xmlns:a="http://schemas.openxmlformats.org/drawingml/2006/main">
              <a:solidFill>
                <a:srgbClr val="00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'Dashboard'!$I$11:$I$22</f>
            </numRef>
          </cat>
          <val>
            <numRef>
              <f>'Dashboard'!$N$11:$N$22</f>
            </numRef>
          </val>
        </ser>
        <dLbls>
          <showVal val="0"/>
          <showCatName val="0"/>
          <showSerName val="0"/>
        </dLbls>
        <marker val="1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Month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Revenue ($)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Monthly Revenue by Type — 2026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'Revenue &amp; Invoices'!C2</f>
            </strRef>
          </tx>
          <spPr>
            <a:solidFill xmlns:a="http://schemas.openxmlformats.org/drawingml/2006/main">
              <a:srgbClr val="00C9C8"/>
            </a:solidFill>
            <a:ln xmlns:a="http://schemas.openxmlformats.org/drawingml/2006/main">
              <a:prstDash val="solid"/>
            </a:ln>
          </spPr>
          <cat>
            <numRef>
              <f>'Revenue &amp; Invoices'!$A$3:$A$14</f>
            </numRef>
          </cat>
          <val>
            <numRef>
              <f>'Revenue &amp; Invoices'!$C$3:$C$14</f>
            </numRef>
          </val>
        </ser>
        <ser>
          <idx val="1"/>
          <order val="1"/>
          <tx>
            <strRef>
              <f>'Revenue &amp; Invoices'!D2</f>
            </strRef>
          </tx>
          <spPr>
            <a:solidFill xmlns:a="http://schemas.openxmlformats.org/drawingml/2006/main">
              <a:srgbClr val="007F7F"/>
            </a:solidFill>
            <a:ln xmlns:a="http://schemas.openxmlformats.org/drawingml/2006/main">
              <a:prstDash val="solid"/>
            </a:ln>
          </spPr>
          <cat>
            <numRef>
              <f>'Revenue &amp; Invoices'!$A$3:$A$14</f>
            </numRef>
          </cat>
          <val>
            <numRef>
              <f>'Revenue &amp; Invoices'!$D$3:$D$14</f>
            </numRef>
          </val>
        </ser>
        <ser>
          <idx val="2"/>
          <order val="2"/>
          <tx>
            <strRef>
              <f>'Revenue &amp; Invoices'!E2</f>
            </strRef>
          </tx>
          <spPr>
            <a:solidFill xmlns:a="http://schemas.openxmlformats.org/drawingml/2006/main">
              <a:srgbClr val="FFD700"/>
            </a:solidFill>
            <a:ln xmlns:a="http://schemas.openxmlformats.org/drawingml/2006/main">
              <a:prstDash val="solid"/>
            </a:ln>
          </spPr>
          <cat>
            <numRef>
              <f>'Revenue &amp; Invoices'!$A$3:$A$14</f>
            </numRef>
          </cat>
          <val>
            <numRef>
              <f>'Revenue &amp; Invoices'!$E$3:$E$14</f>
            </numRef>
          </val>
        </ser>
        <ser>
          <idx val="3"/>
          <order val="3"/>
          <tx>
            <strRef>
              <f>'Revenue &amp; Invoices'!F2</f>
            </strRef>
          </tx>
          <spPr>
            <a:solidFill xmlns:a="http://schemas.openxmlformats.org/drawingml/2006/main">
              <a:srgbClr val="FF6B6B"/>
            </a:solidFill>
            <a:ln xmlns:a="http://schemas.openxmlformats.org/drawingml/2006/main">
              <a:prstDash val="solid"/>
            </a:ln>
          </spPr>
          <cat>
            <numRef>
              <f>'Revenue &amp; Invoices'!$A$3:$A$14</f>
            </numRef>
          </cat>
          <val>
            <numRef>
              <f>'Revenue &amp; Invoices'!$F$3:$F$14</f>
            </numRef>
          </val>
        </ser>
        <ser>
          <idx val="4"/>
          <order val="4"/>
          <tx>
            <strRef>
              <f>'Revenue &amp; Invoices'!G2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&amp; Invoices'!$A$3:$A$14</f>
            </numRef>
          </cat>
          <val>
            <numRef>
              <f>'Revenue &amp; Invoices'!$G$3:$G$14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Month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Revenue ($)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..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27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jordanpark.audio" TargetMode="External" Id="rId1"/><Relationship Type="http://schemas.openxmlformats.org/officeDocument/2006/relationships/hyperlink" Target="https://saraiokon.design" TargetMode="External" Id="rId2"/><Relationship Type="http://schemas.openxmlformats.org/officeDocument/2006/relationships/hyperlink" Target="https://camwhitfield.video" TargetMode="External" Id="rId3"/><Relationship Type="http://schemas.openxmlformats.org/officeDocument/2006/relationships/hyperlink" Target="https://danavoss.write" TargetMode="External" Id="rId4"/><Relationship Type="http://schemas.openxmlformats.org/officeDocument/2006/relationships/hyperlink" Target="https://rentakahashi.ai" TargetMode="External" Id="rId5"/><Relationship Type="http://schemas.openxmlformats.org/officeDocument/2006/relationships/hyperlink" Target="https://mikadelacroix.3d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priyanambiar.portfolio.com" TargetMode="External" Id="rId1"/><Relationship Type="http://schemas.openxmlformats.org/officeDocument/2006/relationships/hyperlink" Target="https://eliotfaure.soundcloud.com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  <col width="10" customWidth="1" min="9" max="9"/>
    <col width="11" customWidth="1" min="10" max="10"/>
    <col width="11" customWidth="1" min="11" max="11"/>
    <col width="10" customWidth="1" min="12" max="12"/>
    <col width="11" customWidth="1" min="13" max="13"/>
    <col width="12" customWidth="1" min="14" max="14"/>
    <col width="4" customWidth="1" min="15" max="15"/>
    <col width="4" customWidth="1" min="16" max="16"/>
  </cols>
  <sheetData>
    <row r="1" ht="40" customHeight="1">
      <c r="A1" s="1" t="inlineStr">
        <is>
          <t>EchoForge Creative Network Dashboard — May 2026</t>
        </is>
      </c>
    </row>
    <row r="2" ht="22" customHeight="1">
      <c r="A2" s="2" t="inlineStr">
        <is>
          <t>Where Ideas Take Shape.</t>
        </is>
      </c>
    </row>
    <row r="3" ht="18" customHeight="1">
      <c r="A3" s="3" t="inlineStr">
        <is>
          <t>Owner: Darren Ethier  |  Platform: EchoForge  |  Services: Audio Editing · Graphic Design · AI Prompting · 3D Rendering · Video Production · Content Writing</t>
        </is>
      </c>
    </row>
    <row r="4" ht="10" customHeight="1"/>
    <row r="5" ht="20" customHeight="1">
      <c r="A5" s="120" t="inlineStr">
        <is>
          <t>Total Projects</t>
        </is>
      </c>
      <c r="B5" s="121" t="n"/>
      <c r="C5" s="121" t="n"/>
      <c r="D5" s="122" t="n"/>
      <c r="E5" s="120" t="inlineStr">
        <is>
          <t>Active Creators</t>
        </is>
      </c>
      <c r="F5" s="121" t="n"/>
      <c r="G5" s="121" t="n"/>
      <c r="H5" s="122" t="n"/>
      <c r="I5" s="120" t="inlineStr">
        <is>
          <t>Delivery Rate</t>
        </is>
      </c>
      <c r="J5" s="121" t="n"/>
      <c r="K5" s="121" t="n"/>
      <c r="L5" s="122" t="n"/>
      <c r="M5" s="120" t="inlineStr">
        <is>
          <t>Monthly MRR</t>
        </is>
      </c>
      <c r="N5" s="121" t="n"/>
      <c r="O5" s="121" t="n"/>
      <c r="P5" s="122" t="n"/>
    </row>
    <row r="6" ht="38" customHeight="1">
      <c r="A6" s="123">
        <f>COUNTA('Client Projects'!A2:A1000)</f>
        <v/>
      </c>
      <c r="B6" s="124" t="n"/>
      <c r="C6" s="124" t="n"/>
      <c r="D6" s="125" t="n"/>
      <c r="E6" s="123">
        <f>COUNTIF(Creators!E2:E1000,"Available")</f>
        <v/>
      </c>
      <c r="F6" s="124" t="n"/>
      <c r="G6" s="124" t="n"/>
      <c r="H6" s="125" t="n"/>
      <c r="I6" s="126">
        <f>IFERROR(COUNTIF('Client Projects'!M2:M1000,"Completed")/COUNTA('Client Projects'!A2:A1000),0)</f>
        <v/>
      </c>
      <c r="J6" s="124" t="n"/>
      <c r="K6" s="124" t="n"/>
      <c r="L6" s="125" t="n"/>
      <c r="M6" s="127">
        <f>IFERROR(SUM('Revenue &amp; Invoices'!G2:G13)/COUNTA('Revenue &amp; Invoices'!A2:A13),0)</f>
        <v/>
      </c>
      <c r="N6" s="124" t="n"/>
      <c r="O6" s="124" t="n"/>
      <c r="P6" s="125" t="n"/>
    </row>
    <row r="7" ht="16" customHeight="1">
      <c r="A7" s="128" t="inlineStr">
        <is>
          <t>from Client Projects</t>
        </is>
      </c>
      <c r="B7" s="129" t="n"/>
      <c r="C7" s="129" t="n"/>
      <c r="D7" s="130" t="n"/>
      <c r="E7" s="128" t="inlineStr">
        <is>
          <t>Availability = Available</t>
        </is>
      </c>
      <c r="F7" s="129" t="n"/>
      <c r="G7" s="129" t="n"/>
      <c r="H7" s="130" t="n"/>
      <c r="I7" s="128" t="inlineStr">
        <is>
          <t>% status = Completed</t>
        </is>
      </c>
      <c r="J7" s="129" t="n"/>
      <c r="K7" s="129" t="n"/>
      <c r="L7" s="130" t="n"/>
      <c r="M7" s="128" t="inlineStr">
        <is>
          <t>avg monthly revenue</t>
        </is>
      </c>
      <c r="N7" s="129" t="n"/>
      <c r="O7" s="129" t="n"/>
      <c r="P7" s="130" t="n"/>
    </row>
    <row r="8" ht="10" customHeight="1"/>
    <row r="9" ht="20" customHeight="1">
      <c r="A9" s="19" t="inlineStr">
        <is>
          <t>Projects by Service Type</t>
        </is>
      </c>
      <c r="I9" s="19" t="inlineStr">
        <is>
          <t>Monthly Revenue Trend (2026)</t>
        </is>
      </c>
    </row>
    <row r="10">
      <c r="A10" s="20" t="inlineStr">
        <is>
          <t>Service Type</t>
        </is>
      </c>
      <c r="B10" s="21" t="inlineStr">
        <is>
          <t>Project Count</t>
        </is>
      </c>
      <c r="I10" s="20" t="inlineStr">
        <is>
          <t>Month</t>
        </is>
      </c>
      <c r="J10" s="22" t="inlineStr">
        <is>
          <t>Std Rev</t>
        </is>
      </c>
      <c r="K10" s="22" t="inlineStr">
        <is>
          <t>Boost Rev</t>
        </is>
      </c>
      <c r="L10" s="22" t="inlineStr">
        <is>
          <t>Rush Sur</t>
        </is>
      </c>
      <c r="M10" s="22" t="inlineStr">
        <is>
          <t>Total Rev</t>
        </is>
      </c>
      <c r="N10" s="21" t="inlineStr">
        <is>
          <t>Cumul Rev</t>
        </is>
      </c>
      <c r="O10" s="23" t="inlineStr"/>
      <c r="P10" s="23" t="inlineStr"/>
    </row>
    <row r="11">
      <c r="A11" s="24" t="inlineStr">
        <is>
          <t>Audio Editing</t>
        </is>
      </c>
      <c r="B11" s="25">
        <f>COUNTIF('Client Projects'!F:F,"Audio Editing")</f>
        <v/>
      </c>
      <c r="I11" s="24" t="inlineStr">
        <is>
          <t>Jan</t>
        </is>
      </c>
      <c r="J11" s="26">
        <f>'Revenue &amp; Invoices'!C2</f>
        <v/>
      </c>
      <c r="K11" s="26">
        <f>'Revenue &amp; Invoices'!E2</f>
        <v/>
      </c>
      <c r="L11" s="26">
        <f>'Revenue &amp; Invoices'!F2</f>
        <v/>
      </c>
      <c r="M11" s="26">
        <f>'Revenue &amp; Invoices'!G2</f>
        <v/>
      </c>
      <c r="N11" s="27">
        <f>'Revenue &amp; Invoices'!H2</f>
        <v/>
      </c>
    </row>
    <row r="12">
      <c r="A12" s="28" t="inlineStr">
        <is>
          <t>Graphic Design</t>
        </is>
      </c>
      <c r="B12" s="29">
        <f>COUNTIF('Client Projects'!F:F,"Graphic Design")</f>
        <v/>
      </c>
      <c r="I12" s="28" t="inlineStr">
        <is>
          <t>Feb</t>
        </is>
      </c>
      <c r="J12" s="30">
        <f>'Revenue &amp; Invoices'!C3</f>
        <v/>
      </c>
      <c r="K12" s="30">
        <f>'Revenue &amp; Invoices'!E3</f>
        <v/>
      </c>
      <c r="L12" s="30">
        <f>'Revenue &amp; Invoices'!F3</f>
        <v/>
      </c>
      <c r="M12" s="30">
        <f>'Revenue &amp; Invoices'!G3</f>
        <v/>
      </c>
      <c r="N12" s="31">
        <f>'Revenue &amp; Invoices'!H3</f>
        <v/>
      </c>
    </row>
    <row r="13">
      <c r="A13" s="24" t="inlineStr">
        <is>
          <t>AI Prompting</t>
        </is>
      </c>
      <c r="B13" s="25">
        <f>COUNTIF('Client Projects'!F:F,"AI Prompting")</f>
        <v/>
      </c>
      <c r="I13" s="24" t="inlineStr">
        <is>
          <t>Mar</t>
        </is>
      </c>
      <c r="J13" s="26">
        <f>'Revenue &amp; Invoices'!C4</f>
        <v/>
      </c>
      <c r="K13" s="26">
        <f>'Revenue &amp; Invoices'!E4</f>
        <v/>
      </c>
      <c r="L13" s="26">
        <f>'Revenue &amp; Invoices'!F4</f>
        <v/>
      </c>
      <c r="M13" s="26">
        <f>'Revenue &amp; Invoices'!G4</f>
        <v/>
      </c>
      <c r="N13" s="27">
        <f>'Revenue &amp; Invoices'!H4</f>
        <v/>
      </c>
    </row>
    <row r="14">
      <c r="A14" s="28" t="inlineStr">
        <is>
          <t>3D Rendering</t>
        </is>
      </c>
      <c r="B14" s="29">
        <f>COUNTIF('Client Projects'!F:F,"3D Rendering")</f>
        <v/>
      </c>
      <c r="I14" s="28" t="inlineStr">
        <is>
          <t>Apr</t>
        </is>
      </c>
      <c r="J14" s="30">
        <f>'Revenue &amp; Invoices'!C5</f>
        <v/>
      </c>
      <c r="K14" s="30">
        <f>'Revenue &amp; Invoices'!E5</f>
        <v/>
      </c>
      <c r="L14" s="30">
        <f>'Revenue &amp; Invoices'!F5</f>
        <v/>
      </c>
      <c r="M14" s="30">
        <f>'Revenue &amp; Invoices'!G5</f>
        <v/>
      </c>
      <c r="N14" s="31">
        <f>'Revenue &amp; Invoices'!H5</f>
        <v/>
      </c>
    </row>
    <row r="15">
      <c r="A15" s="24" t="inlineStr">
        <is>
          <t>Video Production</t>
        </is>
      </c>
      <c r="B15" s="25">
        <f>COUNTIF('Client Projects'!F:F,"Video Production")</f>
        <v/>
      </c>
      <c r="I15" s="24" t="inlineStr">
        <is>
          <t>May</t>
        </is>
      </c>
      <c r="J15" s="26">
        <f>'Revenue &amp; Invoices'!C6</f>
        <v/>
      </c>
      <c r="K15" s="26">
        <f>'Revenue &amp; Invoices'!E6</f>
        <v/>
      </c>
      <c r="L15" s="26">
        <f>'Revenue &amp; Invoices'!F6</f>
        <v/>
      </c>
      <c r="M15" s="26">
        <f>'Revenue &amp; Invoices'!G6</f>
        <v/>
      </c>
      <c r="N15" s="27">
        <f>'Revenue &amp; Invoices'!H6</f>
        <v/>
      </c>
    </row>
    <row r="16">
      <c r="A16" s="32" t="inlineStr">
        <is>
          <t>Content Writing</t>
        </is>
      </c>
      <c r="B16" s="33">
        <f>COUNTIF('Client Projects'!F:F,"Content Writing")</f>
        <v/>
      </c>
      <c r="I16" s="28" t="inlineStr">
        <is>
          <t>Jun</t>
        </is>
      </c>
      <c r="J16" s="30">
        <f>'Revenue &amp; Invoices'!C7</f>
        <v/>
      </c>
      <c r="K16" s="30">
        <f>'Revenue &amp; Invoices'!E7</f>
        <v/>
      </c>
      <c r="L16" s="30">
        <f>'Revenue &amp; Invoices'!F7</f>
        <v/>
      </c>
      <c r="M16" s="30">
        <f>'Revenue &amp; Invoices'!G7</f>
        <v/>
      </c>
      <c r="N16" s="31">
        <f>'Revenue &amp; Invoices'!H7</f>
        <v/>
      </c>
    </row>
    <row r="17">
      <c r="I17" s="24" t="inlineStr">
        <is>
          <t>Jul</t>
        </is>
      </c>
      <c r="J17" s="26">
        <f>'Revenue &amp; Invoices'!C8</f>
        <v/>
      </c>
      <c r="K17" s="26">
        <f>'Revenue &amp; Invoices'!E8</f>
        <v/>
      </c>
      <c r="L17" s="26">
        <f>'Revenue &amp; Invoices'!F8</f>
        <v/>
      </c>
      <c r="M17" s="26">
        <f>'Revenue &amp; Invoices'!G8</f>
        <v/>
      </c>
      <c r="N17" s="27">
        <f>'Revenue &amp; Invoices'!H8</f>
        <v/>
      </c>
    </row>
    <row r="18">
      <c r="I18" s="28" t="inlineStr">
        <is>
          <t>Aug</t>
        </is>
      </c>
      <c r="J18" s="30">
        <f>'Revenue &amp; Invoices'!C9</f>
        <v/>
      </c>
      <c r="K18" s="30">
        <f>'Revenue &amp; Invoices'!E9</f>
        <v/>
      </c>
      <c r="L18" s="30">
        <f>'Revenue &amp; Invoices'!F9</f>
        <v/>
      </c>
      <c r="M18" s="30">
        <f>'Revenue &amp; Invoices'!G9</f>
        <v/>
      </c>
      <c r="N18" s="31">
        <f>'Revenue &amp; Invoices'!H9</f>
        <v/>
      </c>
    </row>
    <row r="19">
      <c r="I19" s="24" t="inlineStr">
        <is>
          <t>Sep</t>
        </is>
      </c>
      <c r="J19" s="26">
        <f>'Revenue &amp; Invoices'!C10</f>
        <v/>
      </c>
      <c r="K19" s="26">
        <f>'Revenue &amp; Invoices'!E10</f>
        <v/>
      </c>
      <c r="L19" s="26">
        <f>'Revenue &amp; Invoices'!F10</f>
        <v/>
      </c>
      <c r="M19" s="26">
        <f>'Revenue &amp; Invoices'!G10</f>
        <v/>
      </c>
      <c r="N19" s="27">
        <f>'Revenue &amp; Invoices'!H10</f>
        <v/>
      </c>
    </row>
    <row r="20">
      <c r="I20" s="28" t="inlineStr">
        <is>
          <t>Oct</t>
        </is>
      </c>
      <c r="J20" s="30">
        <f>'Revenue &amp; Invoices'!C11</f>
        <v/>
      </c>
      <c r="K20" s="30">
        <f>'Revenue &amp; Invoices'!E11</f>
        <v/>
      </c>
      <c r="L20" s="30">
        <f>'Revenue &amp; Invoices'!F11</f>
        <v/>
      </c>
      <c r="M20" s="30">
        <f>'Revenue &amp; Invoices'!G11</f>
        <v/>
      </c>
      <c r="N20" s="31">
        <f>'Revenue &amp; Invoices'!H11</f>
        <v/>
      </c>
    </row>
    <row r="21">
      <c r="I21" s="24" t="inlineStr">
        <is>
          <t>Nov</t>
        </is>
      </c>
      <c r="J21" s="26">
        <f>'Revenue &amp; Invoices'!C12</f>
        <v/>
      </c>
      <c r="K21" s="26">
        <f>'Revenue &amp; Invoices'!E12</f>
        <v/>
      </c>
      <c r="L21" s="26">
        <f>'Revenue &amp; Invoices'!F12</f>
        <v/>
      </c>
      <c r="M21" s="26">
        <f>'Revenue &amp; Invoices'!G12</f>
        <v/>
      </c>
      <c r="N21" s="27">
        <f>'Revenue &amp; Invoices'!H12</f>
        <v/>
      </c>
    </row>
    <row r="22">
      <c r="I22" s="32" t="inlineStr">
        <is>
          <t>Dec</t>
        </is>
      </c>
      <c r="J22" s="34">
        <f>'Revenue &amp; Invoices'!C13</f>
        <v/>
      </c>
      <c r="K22" s="34">
        <f>'Revenue &amp; Invoices'!E13</f>
        <v/>
      </c>
      <c r="L22" s="34">
        <f>'Revenue &amp; Invoices'!F13</f>
        <v/>
      </c>
      <c r="M22" s="34">
        <f>'Revenue &amp; Invoices'!G13</f>
        <v/>
      </c>
      <c r="N22" s="35">
        <f>'Revenue &amp; Invoices'!H13</f>
        <v/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 ht="14" customHeight="1">
      <c r="A42" s="131" t="inlineStr">
        <is>
          <t>EchoForge Creative Network  |  Owner: Darren Ethier  |  Barrie, ON, Canada  |  Updated: May 23, 2026</t>
        </is>
      </c>
      <c r="B42" s="131" t="n"/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1" t="n"/>
      <c r="M42" s="131" t="n"/>
      <c r="N42" s="131" t="n"/>
      <c r="O42" s="131" t="n"/>
      <c r="P42" s="131" t="n"/>
    </row>
  </sheetData>
  <mergeCells count="18">
    <mergeCell ref="M5:P5"/>
    <mergeCell ref="A5:D5"/>
    <mergeCell ref="A42:P42"/>
    <mergeCell ref="A6:D6"/>
    <mergeCell ref="A9:G9"/>
    <mergeCell ref="A1:P1"/>
    <mergeCell ref="M7:P7"/>
    <mergeCell ref="E6:H6"/>
    <mergeCell ref="I6:L6"/>
    <mergeCell ref="A7:D7"/>
    <mergeCell ref="M6:P6"/>
    <mergeCell ref="E7:H7"/>
    <mergeCell ref="A3:P3"/>
    <mergeCell ref="I7:L7"/>
    <mergeCell ref="E5:H5"/>
    <mergeCell ref="I9:P9"/>
    <mergeCell ref="I5:L5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24" customWidth="1" min="4" max="4"/>
    <col width="14" customWidth="1" min="5" max="5"/>
    <col width="16" customWidth="1" min="6" max="6"/>
    <col width="22" customWidth="1" min="7" max="7"/>
    <col width="32" customWidth="1" min="8" max="8"/>
    <col width="12" customWidth="1" min="9" max="9"/>
    <col width="11" customWidth="1" min="10" max="10"/>
    <col width="7" customWidth="1" min="11" max="11"/>
    <col width="13" customWidth="1" min="12" max="12"/>
    <col width="16" customWidth="1" min="13" max="13"/>
    <col width="13" customWidth="1" min="14" max="14"/>
    <col width="26" customWidth="1" min="15" max="15"/>
    <col width="11" customWidth="1" min="16" max="16"/>
  </cols>
  <sheetData>
    <row r="1" ht="28" customHeight="1">
      <c r="A1" s="46" t="inlineStr">
        <is>
          <t>EchoForge — Client Projects</t>
        </is>
      </c>
    </row>
    <row r="2" ht="28" customHeight="1">
      <c r="A2" s="83" t="inlineStr">
        <is>
          <t>ID</t>
        </is>
      </c>
      <c r="B2" s="84" t="inlineStr">
        <is>
          <t>Date</t>
        </is>
      </c>
      <c r="C2" s="84" t="inlineStr">
        <is>
          <t>Client Name</t>
        </is>
      </c>
      <c r="D2" s="84" t="inlineStr">
        <is>
          <t>Email</t>
        </is>
      </c>
      <c r="E2" s="84" t="inlineStr">
        <is>
          <t>Phone</t>
        </is>
      </c>
      <c r="F2" s="84" t="inlineStr">
        <is>
          <t>Service Type</t>
        </is>
      </c>
      <c r="G2" s="84" t="inlineStr">
        <is>
          <t>Project Title</t>
        </is>
      </c>
      <c r="H2" s="84" t="inlineStr">
        <is>
          <t>Description</t>
        </is>
      </c>
      <c r="I2" s="84" t="inlineStr">
        <is>
          <t>Deadline</t>
        </is>
      </c>
      <c r="J2" s="84" t="inlineStr">
        <is>
          <t>Budget ($)</t>
        </is>
      </c>
      <c r="K2" s="84" t="inlineStr">
        <is>
          <t>Rush</t>
        </is>
      </c>
      <c r="L2" s="84" t="inlineStr">
        <is>
          <t>Status</t>
        </is>
      </c>
      <c r="M2" s="84" t="inlineStr">
        <is>
          <t>Assigned Creator</t>
        </is>
      </c>
      <c r="N2" s="84" t="inlineStr">
        <is>
          <t>Delivery Date</t>
        </is>
      </c>
      <c r="O2" s="84" t="inlineStr">
        <is>
          <t>Notes</t>
        </is>
      </c>
      <c r="P2" s="85" t="inlineStr">
        <is>
          <t>Project Score</t>
        </is>
      </c>
    </row>
    <row r="3">
      <c r="A3" s="24" t="inlineStr">
        <is>
          <t>PRJ-001</t>
        </is>
      </c>
      <c r="B3" s="60" t="n">
        <v>46032</v>
      </c>
      <c r="C3" s="48" t="inlineStr">
        <is>
          <t>Mira Connelly</t>
        </is>
      </c>
      <c r="D3" s="48" t="inlineStr">
        <is>
          <t>mira.connelly@gmail.com</t>
        </is>
      </c>
      <c r="E3" s="48" t="inlineStr">
        <is>
          <t>705-555-0192</t>
        </is>
      </c>
      <c r="F3" s="48" t="inlineStr">
        <is>
          <t>Audio Editing</t>
        </is>
      </c>
      <c r="G3" s="48" t="inlineStr">
        <is>
          <t>Podcast Series Cut #1</t>
        </is>
      </c>
      <c r="H3" s="48" t="inlineStr">
        <is>
          <t>Edit 5-episode podcast, noise reduction &amp; mastering</t>
        </is>
      </c>
      <c r="I3" s="60" t="n">
        <v>46050</v>
      </c>
      <c r="J3" s="61" t="n">
        <v>350</v>
      </c>
      <c r="K3" s="48" t="inlineStr">
        <is>
          <t>No</t>
        </is>
      </c>
      <c r="L3" s="48" t="inlineStr">
        <is>
          <t>Completed</t>
        </is>
      </c>
      <c r="M3" s="48" t="inlineStr">
        <is>
          <t>Jordan Park</t>
        </is>
      </c>
      <c r="N3" s="60" t="n">
        <v>46048</v>
      </c>
      <c r="O3" s="48" t="inlineStr">
        <is>
          <t>Client very satisfied</t>
        </is>
      </c>
      <c r="P3" s="50">
        <f>IF(AND(K3="Yes",J3&gt;500),95,IF(K3="Yes",80,IF(J3&gt;1000,75,50)))</f>
        <v/>
      </c>
    </row>
    <row r="4">
      <c r="A4" s="28" t="inlineStr">
        <is>
          <t>PRJ-002</t>
        </is>
      </c>
      <c r="B4" s="62" t="n">
        <v>46056</v>
      </c>
      <c r="C4" s="52" t="inlineStr">
        <is>
          <t>Theo Bassett</t>
        </is>
      </c>
      <c r="D4" s="52" t="inlineStr">
        <is>
          <t>theo.bassett@outlook.com</t>
        </is>
      </c>
      <c r="E4" s="52" t="inlineStr">
        <is>
          <t>705-555-0387</t>
        </is>
      </c>
      <c r="F4" s="52" t="inlineStr">
        <is>
          <t>Graphic Design</t>
        </is>
      </c>
      <c r="G4" s="52" t="inlineStr">
        <is>
          <t>Brand Identity Package</t>
        </is>
      </c>
      <c r="H4" s="52" t="inlineStr">
        <is>
          <t>Logo, colour palette, business card design</t>
        </is>
      </c>
      <c r="I4" s="62" t="n">
        <v>46073</v>
      </c>
      <c r="J4" s="63" t="n">
        <v>1200</v>
      </c>
      <c r="K4" s="52" t="inlineStr">
        <is>
          <t>No</t>
        </is>
      </c>
      <c r="L4" s="52" t="inlineStr">
        <is>
          <t>Delivered</t>
        </is>
      </c>
      <c r="M4" s="52" t="inlineStr">
        <is>
          <t>Sarai Okon</t>
        </is>
      </c>
      <c r="N4" s="62" t="n">
        <v>46071</v>
      </c>
      <c r="O4" s="52" t="inlineStr">
        <is>
          <t>One revision requested</t>
        </is>
      </c>
      <c r="P4" s="54">
        <f>IF(AND(K4="Yes",J4&gt;500),95,IF(K4="Yes",80,IF(J4&gt;1000,75,50)))</f>
        <v/>
      </c>
    </row>
    <row r="5">
      <c r="A5" s="24" t="inlineStr">
        <is>
          <t>PRJ-003</t>
        </is>
      </c>
      <c r="B5" s="60" t="n">
        <v>46096</v>
      </c>
      <c r="C5" s="48" t="inlineStr">
        <is>
          <t>Luz Ferreira</t>
        </is>
      </c>
      <c r="D5" s="48" t="inlineStr">
        <is>
          <t>luz.ferreira@yahoo.com</t>
        </is>
      </c>
      <c r="E5" s="48" t="inlineStr">
        <is>
          <t>647-555-0841</t>
        </is>
      </c>
      <c r="F5" s="48" t="inlineStr">
        <is>
          <t>Video Production</t>
        </is>
      </c>
      <c r="G5" s="48" t="inlineStr">
        <is>
          <t>Product Launch Reel</t>
        </is>
      </c>
      <c r="H5" s="48" t="inlineStr">
        <is>
          <t>90-sec launch video with motion graphics, VO</t>
        </is>
      </c>
      <c r="I5" s="60" t="n">
        <v>46113</v>
      </c>
      <c r="J5" s="61" t="n">
        <v>2500</v>
      </c>
      <c r="K5" s="48" t="inlineStr">
        <is>
          <t>Yes</t>
        </is>
      </c>
      <c r="L5" s="48" t="inlineStr">
        <is>
          <t>In Progress</t>
        </is>
      </c>
      <c r="M5" s="48" t="inlineStr">
        <is>
          <t>Cam Whitfield</t>
        </is>
      </c>
      <c r="N5" s="60" t="inlineStr"/>
      <c r="O5" s="48" t="inlineStr">
        <is>
          <t>Rush approved, tight deadline</t>
        </is>
      </c>
      <c r="P5" s="50">
        <f>IF(AND(K5="Yes",J5&gt;500),95,IF(K5="Yes",80,IF(J5&gt;1000,75,50)))</f>
        <v/>
      </c>
    </row>
    <row r="6">
      <c r="A6" s="28" t="inlineStr">
        <is>
          <t>PRJ-004</t>
        </is>
      </c>
      <c r="B6" s="62" t="n">
        <v>46134</v>
      </c>
      <c r="C6" s="52" t="inlineStr">
        <is>
          <t>Noel Harding</t>
        </is>
      </c>
      <c r="D6" s="52" t="inlineStr">
        <is>
          <t>noel.harding@proton.me</t>
        </is>
      </c>
      <c r="E6" s="52" t="inlineStr">
        <is>
          <t>416-555-0034</t>
        </is>
      </c>
      <c r="F6" s="52" t="inlineStr">
        <is>
          <t>AI Prompting</t>
        </is>
      </c>
      <c r="G6" s="52" t="inlineStr">
        <is>
          <t>E-commerce Image Prompts</t>
        </is>
      </c>
      <c r="H6" s="52" t="inlineStr">
        <is>
          <t>50 optimised Midjourney prompts for product shots</t>
        </is>
      </c>
      <c r="I6" s="62" t="n">
        <v>46147</v>
      </c>
      <c r="J6" s="63" t="n">
        <v>150</v>
      </c>
      <c r="K6" s="52" t="inlineStr">
        <is>
          <t>No</t>
        </is>
      </c>
      <c r="L6" s="52" t="inlineStr">
        <is>
          <t>New</t>
        </is>
      </c>
      <c r="M6" s="52" t="inlineStr"/>
      <c r="N6" s="62" t="inlineStr"/>
      <c r="O6" s="52" t="inlineStr">
        <is>
          <t>Awaiting creator match</t>
        </is>
      </c>
      <c r="P6" s="54">
        <f>IF(AND(K6="Yes",J6&gt;500),95,IF(K6="Yes",80,IF(J6&gt;1000,75,50)))</f>
        <v/>
      </c>
    </row>
    <row r="7">
      <c r="A7" s="55" t="inlineStr">
        <is>
          <t>PRJ-005</t>
        </is>
      </c>
      <c r="B7" s="64" t="n">
        <v>46143</v>
      </c>
      <c r="C7" s="57" t="inlineStr">
        <is>
          <t>Avery Sloane</t>
        </is>
      </c>
      <c r="D7" s="57" t="inlineStr">
        <is>
          <t>avery.sloane@gmail.com</t>
        </is>
      </c>
      <c r="E7" s="57" t="inlineStr">
        <is>
          <t>905-555-0276</t>
        </is>
      </c>
      <c r="F7" s="57" t="inlineStr">
        <is>
          <t>Content Writing</t>
        </is>
      </c>
      <c r="G7" s="57" t="inlineStr">
        <is>
          <t>SaaS Blog — 4 Articles</t>
        </is>
      </c>
      <c r="H7" s="57" t="inlineStr">
        <is>
          <t>4 x 1200-word SEO blog posts on productivity tools</t>
        </is>
      </c>
      <c r="I7" s="64" t="n">
        <v>46164</v>
      </c>
      <c r="J7" s="65" t="n">
        <v>680</v>
      </c>
      <c r="K7" s="57" t="inlineStr">
        <is>
          <t>Yes</t>
        </is>
      </c>
      <c r="L7" s="57" t="inlineStr">
        <is>
          <t>Matched</t>
        </is>
      </c>
      <c r="M7" s="57" t="inlineStr">
        <is>
          <t>Dana Voss</t>
        </is>
      </c>
      <c r="N7" s="64" t="inlineStr"/>
      <c r="O7" s="57" t="inlineStr">
        <is>
          <t>Rush surcharge applied</t>
        </is>
      </c>
      <c r="P7" s="59">
        <f>IF(AND(K7="Yes",J7&gt;500),95,IF(K7="Yes",80,IF(J7&gt;1000,75,50)))</f>
        <v/>
      </c>
    </row>
  </sheetData>
  <mergeCells count="1">
    <mergeCell ref="A1:Q1"/>
  </mergeCells>
  <dataValidations count="3">
    <dataValidation sqref="F3:F1000" showDropDown="0" showInputMessage="0" showErrorMessage="0" allowBlank="1" type="list">
      <formula1>"Audio Editing,Graphic Design,AI Prompting,3D Rendering,Video Production,Content Writing,Other"</formula1>
    </dataValidation>
    <dataValidation sqref="K3:K1000" showDropDown="0" showInputMessage="0" showErrorMessage="0" allowBlank="1" type="list">
      <formula1>"Yes,No"</formula1>
    </dataValidation>
    <dataValidation sqref="L3:L1000" showDropDown="0" showInputMessage="0" showErrorMessage="0" allowBlank="1" type="list">
      <formula1>"New,In Progress,Matched,Delivered,Revision,Completed,Cancelled"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6" customWidth="1" min="3" max="3"/>
    <col width="28" customWidth="1" min="4" max="4"/>
    <col width="13" customWidth="1" min="5" max="5"/>
    <col width="13" customWidth="1" min="6" max="6"/>
    <col width="12" customWidth="1" min="7" max="7"/>
    <col width="18" customWidth="1" min="8" max="8"/>
    <col width="15" customWidth="1" min="9" max="9"/>
    <col width="32" customWidth="1" min="10" max="10"/>
  </cols>
  <sheetData>
    <row r="1" ht="28" customHeight="1">
      <c r="A1" s="46" t="inlineStr">
        <is>
          <t>EchoForge — Creators / Freelancers</t>
        </is>
      </c>
    </row>
    <row r="2" ht="28" customHeight="1">
      <c r="A2" s="83" t="inlineStr">
        <is>
          <t>ID</t>
        </is>
      </c>
      <c r="B2" s="84" t="inlineStr">
        <is>
          <t>Name</t>
        </is>
      </c>
      <c r="C2" s="84" t="inlineStr">
        <is>
          <t>Skills</t>
        </is>
      </c>
      <c r="D2" s="84" t="inlineStr">
        <is>
          <t>Portfolio URL</t>
        </is>
      </c>
      <c r="E2" s="84" t="inlineStr">
        <is>
          <t>Hourly Rate ($)</t>
        </is>
      </c>
      <c r="F2" s="84" t="inlineStr">
        <is>
          <t>Availability</t>
        </is>
      </c>
      <c r="G2" s="84" t="inlineStr">
        <is>
          <t>Rating (1-5)</t>
        </is>
      </c>
      <c r="H2" s="84" t="inlineStr">
        <is>
          <t>Tier</t>
        </is>
      </c>
      <c r="I2" s="84" t="inlineStr">
        <is>
          <t>Turnaround Days</t>
        </is>
      </c>
      <c r="J2" s="85" t="inlineStr">
        <is>
          <t>Notes</t>
        </is>
      </c>
    </row>
    <row r="3">
      <c r="A3" s="24" t="inlineStr">
        <is>
          <t>CRE-001</t>
        </is>
      </c>
      <c r="B3" s="48" t="inlineStr">
        <is>
          <t>Jordan Park</t>
        </is>
      </c>
      <c r="C3" s="48" t="inlineStr">
        <is>
          <t>Audio Editing, Podcast Mastering, Noise Reduction</t>
        </is>
      </c>
      <c r="D3" s="66" t="inlineStr">
        <is>
          <t>jordanpark.audio</t>
        </is>
      </c>
      <c r="E3" s="61" t="n">
        <v>55</v>
      </c>
      <c r="F3" s="67" t="inlineStr">
        <is>
          <t>Available</t>
        </is>
      </c>
      <c r="G3" s="68" t="n">
        <v>4.8</v>
      </c>
      <c r="H3" s="48" t="inlineStr">
        <is>
          <t>Forge Boost $79</t>
        </is>
      </c>
      <c r="I3" s="48" t="n">
        <v>3</v>
      </c>
      <c r="J3" s="25" t="inlineStr">
        <is>
          <t>Top-rated audio specialist, Barrie ON</t>
        </is>
      </c>
    </row>
    <row r="4">
      <c r="A4" s="28" t="inlineStr">
        <is>
          <t>CRE-002</t>
        </is>
      </c>
      <c r="B4" s="52" t="inlineStr">
        <is>
          <t>Sarai Okon</t>
        </is>
      </c>
      <c r="C4" s="52" t="inlineStr">
        <is>
          <t>Graphic Design, Branding, Illustration, Typography</t>
        </is>
      </c>
      <c r="D4" s="69" t="inlineStr">
        <is>
          <t>saraiokon.design</t>
        </is>
      </c>
      <c r="E4" s="63" t="n">
        <v>70</v>
      </c>
      <c r="F4" s="67" t="inlineStr">
        <is>
          <t>Available</t>
        </is>
      </c>
      <c r="G4" s="70" t="n">
        <v>4.9</v>
      </c>
      <c r="H4" s="52" t="inlineStr">
        <is>
          <t>Forge Boost $79</t>
        </is>
      </c>
      <c r="I4" s="52" t="n">
        <v>4</v>
      </c>
      <c r="J4" s="29" t="inlineStr">
        <is>
          <t>Brand identity expert, fast turnaround</t>
        </is>
      </c>
    </row>
    <row r="5">
      <c r="A5" s="24" t="inlineStr">
        <is>
          <t>CRE-003</t>
        </is>
      </c>
      <c r="B5" s="48" t="inlineStr">
        <is>
          <t>Cam Whitfield</t>
        </is>
      </c>
      <c r="C5" s="48" t="inlineStr">
        <is>
          <t>Video Production, Motion Graphics, Colour Grading</t>
        </is>
      </c>
      <c r="D5" s="66" t="inlineStr">
        <is>
          <t>camwhitfield.video</t>
        </is>
      </c>
      <c r="E5" s="61" t="n">
        <v>95</v>
      </c>
      <c r="F5" s="71" t="inlineStr">
        <is>
          <t>Busy</t>
        </is>
      </c>
      <c r="G5" s="68" t="n">
        <v>4.7</v>
      </c>
      <c r="H5" s="48" t="inlineStr">
        <is>
          <t>Forge Boost $79</t>
        </is>
      </c>
      <c r="I5" s="48" t="n">
        <v>5</v>
      </c>
      <c r="J5" s="25" t="inlineStr">
        <is>
          <t>Currently on PRJ-003, available June</t>
        </is>
      </c>
    </row>
    <row r="6">
      <c r="A6" s="28" t="inlineStr">
        <is>
          <t>CRE-004</t>
        </is>
      </c>
      <c r="B6" s="52" t="inlineStr">
        <is>
          <t>Dana Voss</t>
        </is>
      </c>
      <c r="C6" s="52" t="inlineStr">
        <is>
          <t>Content Writing, SEO, Copywriting, Blog Posts</t>
        </is>
      </c>
      <c r="D6" s="69" t="inlineStr">
        <is>
          <t>danavoss.write</t>
        </is>
      </c>
      <c r="E6" s="63" t="n">
        <v>45</v>
      </c>
      <c r="F6" s="67" t="inlineStr">
        <is>
          <t>Available</t>
        </is>
      </c>
      <c r="G6" s="70" t="n">
        <v>4.5</v>
      </c>
      <c r="H6" s="52" t="inlineStr">
        <is>
          <t>Standard Free</t>
        </is>
      </c>
      <c r="I6" s="52" t="n">
        <v>3</v>
      </c>
      <c r="J6" s="29" t="inlineStr">
        <is>
          <t>Strong SaaS and tech niche experience</t>
        </is>
      </c>
    </row>
    <row r="7">
      <c r="A7" s="24" t="inlineStr">
        <is>
          <t>CRE-005</t>
        </is>
      </c>
      <c r="B7" s="48" t="inlineStr">
        <is>
          <t>Ren Takahashi</t>
        </is>
      </c>
      <c r="C7" s="48" t="inlineStr">
        <is>
          <t>AI Prompting, Midjourney, DALL-E, Stable Diffusion</t>
        </is>
      </c>
      <c r="D7" s="66" t="inlineStr">
        <is>
          <t>rentakahashi.ai</t>
        </is>
      </c>
      <c r="E7" s="61" t="n">
        <v>40</v>
      </c>
      <c r="F7" s="67" t="inlineStr">
        <is>
          <t>Available</t>
        </is>
      </c>
      <c r="G7" s="68" t="n">
        <v>4.6</v>
      </c>
      <c r="H7" s="48" t="inlineStr">
        <is>
          <t>Standard Free</t>
        </is>
      </c>
      <c r="I7" s="48" t="n">
        <v>2</v>
      </c>
      <c r="J7" s="25" t="inlineStr">
        <is>
          <t>Specialises in product &amp; e-commerce prompts</t>
        </is>
      </c>
    </row>
    <row r="8">
      <c r="A8" s="32" t="inlineStr">
        <is>
          <t>CRE-006</t>
        </is>
      </c>
      <c r="B8" s="72" t="inlineStr">
        <is>
          <t>Mika Delacroix</t>
        </is>
      </c>
      <c r="C8" s="72" t="inlineStr">
        <is>
          <t>3D Rendering, Blender, ArchViz, Product Visualisation</t>
        </is>
      </c>
      <c r="D8" s="73" t="inlineStr">
        <is>
          <t>mikadelacroix.3d</t>
        </is>
      </c>
      <c r="E8" s="74" t="n">
        <v>85</v>
      </c>
      <c r="F8" s="75" t="inlineStr">
        <is>
          <t>On Hold</t>
        </is>
      </c>
      <c r="G8" s="76" t="n">
        <v>4.4</v>
      </c>
      <c r="H8" s="72" t="inlineStr">
        <is>
          <t>Forge Boost $79</t>
        </is>
      </c>
      <c r="I8" s="72" t="n">
        <v>6</v>
      </c>
      <c r="J8" s="33" t="inlineStr">
        <is>
          <t>On hold — returning July 2026</t>
        </is>
      </c>
    </row>
  </sheetData>
  <mergeCells count="1">
    <mergeCell ref="A1:J1"/>
  </mergeCells>
  <dataValidations count="2">
    <dataValidation sqref="F3:F1000" showDropDown="0" showInputMessage="0" showErrorMessage="0" allowBlank="1" type="list">
      <formula1>"Available,Busy,On Hold"</formula1>
    </dataValidation>
    <dataValidation sqref="H3:H1000" showDropDown="0" showInputMessage="0" showErrorMessage="0" allowBlank="1" type="list">
      <formula1>"Standard Free,Forge Boost $79"</formula1>
    </dataValidation>
  </dataValidation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6" customWidth="1" min="4" max="4"/>
    <col width="30" customWidth="1" min="5" max="5"/>
    <col width="13" customWidth="1" min="6" max="6"/>
    <col width="13" customWidth="1" min="7" max="7"/>
    <col width="18" customWidth="1" min="8" max="8"/>
    <col width="12" customWidth="1" min="9" max="9"/>
    <col width="38" customWidth="1" min="10" max="10"/>
  </cols>
  <sheetData>
    <row r="1" ht="28" customHeight="1">
      <c r="A1" s="46" t="inlineStr">
        <is>
          <t>EchoForge — Creator Applications</t>
        </is>
      </c>
    </row>
    <row r="2" ht="28" customHeight="1">
      <c r="A2" s="83" t="inlineStr">
        <is>
          <t>Submission Date</t>
        </is>
      </c>
      <c r="B2" s="84" t="inlineStr">
        <is>
          <t>Full Name</t>
        </is>
      </c>
      <c r="C2" s="84" t="inlineStr">
        <is>
          <t>Primary Skill</t>
        </is>
      </c>
      <c r="D2" s="84" t="inlineStr">
        <is>
          <t>Years Experience</t>
        </is>
      </c>
      <c r="E2" s="84" t="inlineStr">
        <is>
          <t>Portfolio URL</t>
        </is>
      </c>
      <c r="F2" s="84" t="inlineStr">
        <is>
          <t>Hourly Rate ($)</t>
        </is>
      </c>
      <c r="G2" s="84" t="inlineStr">
        <is>
          <t>Availability</t>
        </is>
      </c>
      <c r="H2" s="84" t="inlineStr">
        <is>
          <t>Tier Interest</t>
        </is>
      </c>
      <c r="I2" s="84" t="inlineStr">
        <is>
          <t>Status</t>
        </is>
      </c>
      <c r="J2" s="85" t="inlineStr">
        <is>
          <t>Notes</t>
        </is>
      </c>
    </row>
    <row r="3">
      <c r="A3" s="77" t="n">
        <v>46160</v>
      </c>
      <c r="B3" s="48" t="inlineStr">
        <is>
          <t>Priya Nambiar</t>
        </is>
      </c>
      <c r="C3" s="48" t="inlineStr">
        <is>
          <t>3D Rendering</t>
        </is>
      </c>
      <c r="D3" s="48" t="n">
        <v>4</v>
      </c>
      <c r="E3" s="66" t="inlineStr">
        <is>
          <t>priyanambiar.portfolio.com</t>
        </is>
      </c>
      <c r="F3" s="61" t="n">
        <v>75</v>
      </c>
      <c r="G3" s="48" t="inlineStr">
        <is>
          <t>Available</t>
        </is>
      </c>
      <c r="H3" s="48" t="inlineStr">
        <is>
          <t>Forge Boost $79</t>
        </is>
      </c>
      <c r="I3" s="78" t="inlineStr">
        <is>
          <t>New</t>
        </is>
      </c>
      <c r="J3" s="25" t="inlineStr">
        <is>
          <t>Strong Blender &amp; Cinema4D portfolio, interested in ArchViz projects</t>
        </is>
      </c>
    </row>
    <row r="4">
      <c r="A4" s="79" t="n">
        <v>46163</v>
      </c>
      <c r="B4" s="72" t="inlineStr">
        <is>
          <t>Eliot Faure</t>
        </is>
      </c>
      <c r="C4" s="72" t="inlineStr">
        <is>
          <t>Audio Editing</t>
        </is>
      </c>
      <c r="D4" s="72" t="n">
        <v>2</v>
      </c>
      <c r="E4" s="73" t="inlineStr">
        <is>
          <t>eliotfaure.soundcloud.com</t>
        </is>
      </c>
      <c r="F4" s="74" t="n">
        <v>35</v>
      </c>
      <c r="G4" s="72" t="inlineStr">
        <is>
          <t>Available</t>
        </is>
      </c>
      <c r="H4" s="72" t="inlineStr">
        <is>
          <t>Standard Free</t>
        </is>
      </c>
      <c r="I4" s="75" t="inlineStr">
        <is>
          <t>New</t>
        </is>
      </c>
      <c r="J4" s="33" t="inlineStr">
        <is>
          <t>Recent graduate, podcast and music production background</t>
        </is>
      </c>
    </row>
  </sheetData>
  <mergeCells count="1">
    <mergeCell ref="A1:J1"/>
  </mergeCells>
  <dataValidations count="3">
    <dataValidation sqref="G3:G1000" showDropDown="0" showInputMessage="0" showErrorMessage="0" allowBlank="1" type="list">
      <formula1>"Available,Busy,On Hold"</formula1>
    </dataValidation>
    <dataValidation sqref="H3:H1000" showDropDown="0" showInputMessage="0" showErrorMessage="0" allowBlank="1" type="list">
      <formula1>"Standard Free,Forge Boost $79"</formula1>
    </dataValidation>
    <dataValidation sqref="I3:I1000" showDropDown="0" showInputMessage="0" showErrorMessage="0" allowBlank="1" type="list">
      <formula1>"New,Approved,Rejected"</formula1>
    </dataValidation>
  </dataValidations>
  <hyperlinks>
    <hyperlink xmlns:r="http://schemas.openxmlformats.org/officeDocument/2006/relationships" ref="E3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6" customWidth="1" min="4" max="4"/>
    <col width="26" customWidth="1" min="5" max="5"/>
    <col width="16" customWidth="1" min="6" max="6"/>
    <col width="11" customWidth="1" min="7" max="7"/>
    <col width="13" customWidth="1" min="8" max="8"/>
    <col width="12" customWidth="1" min="9" max="9"/>
    <col width="11" customWidth="1" min="10" max="10"/>
    <col width="34" customWidth="1" min="11" max="11"/>
  </cols>
  <sheetData>
    <row r="1" ht="28" customHeight="1">
      <c r="A1" s="46" t="inlineStr">
        <is>
          <t>EchoForge — Deliveries Pipeline</t>
        </is>
      </c>
    </row>
    <row r="2" ht="28" customHeight="1">
      <c r="A2" s="83" t="inlineStr">
        <is>
          <t>Match Date</t>
        </is>
      </c>
      <c r="B2" s="84" t="inlineStr">
        <is>
          <t>Client Name</t>
        </is>
      </c>
      <c r="C2" s="84" t="inlineStr">
        <is>
          <t>Client Contact</t>
        </is>
      </c>
      <c r="D2" s="84" t="inlineStr">
        <is>
          <t>Creator Name</t>
        </is>
      </c>
      <c r="E2" s="84" t="inlineStr">
        <is>
          <t>Creator Contact</t>
        </is>
      </c>
      <c r="F2" s="84" t="inlineStr">
        <is>
          <t>Service Type</t>
        </is>
      </c>
      <c r="G2" s="84" t="inlineStr">
        <is>
          <t>Match Type</t>
        </is>
      </c>
      <c r="H2" s="84" t="inlineStr">
        <is>
          <t>Status</t>
        </is>
      </c>
      <c r="I2" s="84" t="inlineStr">
        <is>
          <t>Forge Boost</t>
        </is>
      </c>
      <c r="J2" s="84" t="inlineStr">
        <is>
          <t>Revenue ($)</t>
        </is>
      </c>
      <c r="K2" s="85" t="inlineStr">
        <is>
          <t>Notes</t>
        </is>
      </c>
    </row>
    <row r="3">
      <c r="A3" s="77" t="n">
        <v>46034</v>
      </c>
      <c r="B3" s="48" t="inlineStr">
        <is>
          <t>Mira Connelly</t>
        </is>
      </c>
      <c r="C3" s="48" t="inlineStr">
        <is>
          <t>mira.connelly@gmail.com</t>
        </is>
      </c>
      <c r="D3" s="48" t="inlineStr">
        <is>
          <t>Jordan Park</t>
        </is>
      </c>
      <c r="E3" s="48" t="inlineStr">
        <is>
          <t>jordan@jordanpark.audio</t>
        </is>
      </c>
      <c r="F3" s="48" t="inlineStr">
        <is>
          <t>Audio Editing</t>
        </is>
      </c>
      <c r="G3" s="48" t="inlineStr">
        <is>
          <t>Auto</t>
        </is>
      </c>
      <c r="H3" s="67" t="inlineStr">
        <is>
          <t>Completed</t>
        </is>
      </c>
      <c r="I3" s="48" t="inlineStr">
        <is>
          <t>No</t>
        </is>
      </c>
      <c r="J3" s="61" t="n">
        <v>350</v>
      </c>
      <c r="K3" s="25" t="inlineStr">
        <is>
          <t>Auto-matched by skill; delivered on time, 5-star review</t>
        </is>
      </c>
    </row>
    <row r="4">
      <c r="A4" s="80" t="n">
        <v>46058</v>
      </c>
      <c r="B4" s="52" t="inlineStr">
        <is>
          <t>Theo Bassett</t>
        </is>
      </c>
      <c r="C4" s="52" t="inlineStr">
        <is>
          <t>theo.bassett@outlook.com</t>
        </is>
      </c>
      <c r="D4" s="52" t="inlineStr">
        <is>
          <t>Sarai Okon</t>
        </is>
      </c>
      <c r="E4" s="52" t="inlineStr">
        <is>
          <t>sarai@saraiokon.design</t>
        </is>
      </c>
      <c r="F4" s="52" t="inlineStr">
        <is>
          <t>Graphic Design</t>
        </is>
      </c>
      <c r="G4" s="52" t="inlineStr">
        <is>
          <t>Manual</t>
        </is>
      </c>
      <c r="H4" s="67" t="inlineStr">
        <is>
          <t>Completed</t>
        </is>
      </c>
      <c r="I4" s="67" t="inlineStr">
        <is>
          <t>Yes</t>
        </is>
      </c>
      <c r="J4" s="63" t="n">
        <v>1279</v>
      </c>
      <c r="K4" s="29" t="inlineStr">
        <is>
          <t>Manual match; Forge Boost applied; one revision cycle</t>
        </is>
      </c>
    </row>
    <row r="5">
      <c r="A5" s="81" t="n">
        <v>46144</v>
      </c>
      <c r="B5" s="57" t="inlineStr">
        <is>
          <t>Avery Sloane</t>
        </is>
      </c>
      <c r="C5" s="57" t="inlineStr">
        <is>
          <t>avery.sloane@gmail.com</t>
        </is>
      </c>
      <c r="D5" s="57" t="inlineStr">
        <is>
          <t>Dana Voss</t>
        </is>
      </c>
      <c r="E5" s="57" t="inlineStr">
        <is>
          <t>dana@danavoss.write</t>
        </is>
      </c>
      <c r="F5" s="57" t="inlineStr">
        <is>
          <t>Content Writing</t>
        </is>
      </c>
      <c r="G5" s="57" t="inlineStr">
        <is>
          <t>Auto</t>
        </is>
      </c>
      <c r="H5" s="75" t="inlineStr">
        <is>
          <t>In Progress</t>
        </is>
      </c>
      <c r="I5" s="57" t="inlineStr">
        <is>
          <t>No</t>
        </is>
      </c>
      <c r="J5" s="65" t="n">
        <v>680</v>
      </c>
      <c r="K5" s="82" t="inlineStr">
        <is>
          <t>Rush project; 4 articles; deadline May 22</t>
        </is>
      </c>
    </row>
  </sheetData>
  <mergeCells count="1">
    <mergeCell ref="A1:K1"/>
  </mergeCells>
  <dataValidations count="4">
    <dataValidation sqref="F3:F1000" showDropDown="0" showInputMessage="0" showErrorMessage="0" allowBlank="1" type="list">
      <formula1>"Audio Editing,Graphic Design,AI Prompting,3D Rendering,Video Production,Content Writing,Other"</formula1>
    </dataValidation>
    <dataValidation sqref="G3:G1000" showDropDown="0" showInputMessage="0" showErrorMessage="0" allowBlank="1" type="list">
      <formula1>"Auto,Manual"</formula1>
    </dataValidation>
    <dataValidation sqref="H3:H1000" showDropDown="0" showInputMessage="0" showErrorMessage="0" allowBlank="1" type="list">
      <formula1>"Pending,In Progress,Review,Delivered,Completed"</formula1>
    </dataValidation>
    <dataValidation sqref="I3:I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18" customWidth="1" min="6" max="6"/>
    <col width="22" customWidth="1" min="7" max="7"/>
    <col width="22" customWidth="1" min="8" max="8"/>
    <col width="14" customWidth="1" min="10" max="10"/>
    <col width="16" customWidth="1" min="11" max="11"/>
  </cols>
  <sheetData>
    <row r="1" ht="28" customHeight="1">
      <c r="A1" s="46" t="inlineStr">
        <is>
          <t>EchoForge — Revenue &amp; Invoices 2026</t>
        </is>
      </c>
    </row>
    <row r="2" ht="36" customHeight="1">
      <c r="A2" s="83" t="inlineStr">
        <is>
          <t>Month</t>
        </is>
      </c>
      <c r="B2" s="84" t="inlineStr">
        <is>
          <t>Standard Projects (#)</t>
        </is>
      </c>
      <c r="C2" s="84" t="inlineStr">
        <is>
          <t>Standard Revenue ($)</t>
        </is>
      </c>
      <c r="D2" s="84" t="inlineStr">
        <is>
          <t>Forge Boost Projects (#)</t>
        </is>
      </c>
      <c r="E2" s="84" t="inlineStr">
        <is>
          <t>Forge Boost Revenue ($)</t>
        </is>
      </c>
      <c r="F2" s="84" t="inlineStr">
        <is>
          <t>Rush Surcharges ($)</t>
        </is>
      </c>
      <c r="G2" s="84" t="inlineStr">
        <is>
          <t>Total Monthly Revenue ($)</t>
        </is>
      </c>
      <c r="H2" s="85" t="inlineStr">
        <is>
          <t>Cumulative Revenue ($)</t>
        </is>
      </c>
      <c r="J2" s="132" t="inlineStr">
        <is>
          <t>Last Updated</t>
        </is>
      </c>
      <c r="K2" s="133" t="inlineStr">
        <is>
          <t>May 23, 2026</t>
        </is>
      </c>
    </row>
    <row r="3">
      <c r="A3" s="24" t="inlineStr">
        <is>
          <t>Jan 2026</t>
        </is>
      </c>
      <c r="B3" s="86" t="n">
        <v>2</v>
      </c>
      <c r="C3" s="61">
        <f>B3*250</f>
        <v/>
      </c>
      <c r="D3" s="86" t="n">
        <v>0</v>
      </c>
      <c r="E3" s="61">
        <f>D3*79</f>
        <v/>
      </c>
      <c r="F3" s="61" t="n">
        <v>0</v>
      </c>
      <c r="G3" s="61">
        <f>C3+E3+F3</f>
        <v/>
      </c>
      <c r="H3" s="87">
        <f>G3</f>
        <v/>
      </c>
    </row>
    <row r="4">
      <c r="A4" s="28" t="inlineStr">
        <is>
          <t>Feb 2026</t>
        </is>
      </c>
      <c r="B4" s="88" t="n">
        <v>3</v>
      </c>
      <c r="C4" s="63">
        <f>B4*250</f>
        <v/>
      </c>
      <c r="D4" s="88" t="n">
        <v>0</v>
      </c>
      <c r="E4" s="63">
        <f>D4*79</f>
        <v/>
      </c>
      <c r="F4" s="63" t="n">
        <v>50</v>
      </c>
      <c r="G4" s="63">
        <f>C4+E4+F4</f>
        <v/>
      </c>
      <c r="H4" s="89">
        <f>H3+G4</f>
        <v/>
      </c>
    </row>
    <row r="5">
      <c r="A5" s="24" t="inlineStr">
        <is>
          <t>Mar 2026</t>
        </is>
      </c>
      <c r="B5" s="86" t="n">
        <v>4</v>
      </c>
      <c r="C5" s="61">
        <f>B5*250</f>
        <v/>
      </c>
      <c r="D5" s="86" t="n">
        <v>1</v>
      </c>
      <c r="E5" s="61">
        <f>D5*79</f>
        <v/>
      </c>
      <c r="F5" s="61" t="n">
        <v>75</v>
      </c>
      <c r="G5" s="61">
        <f>C5+E5+F5</f>
        <v/>
      </c>
      <c r="H5" s="87">
        <f>H4+G5</f>
        <v/>
      </c>
    </row>
    <row r="6">
      <c r="A6" s="28" t="inlineStr">
        <is>
          <t>Apr 2026</t>
        </is>
      </c>
      <c r="B6" s="88" t="n">
        <v>5</v>
      </c>
      <c r="C6" s="63">
        <f>B6*250</f>
        <v/>
      </c>
      <c r="D6" s="88" t="n">
        <v>1</v>
      </c>
      <c r="E6" s="63">
        <f>D6*79</f>
        <v/>
      </c>
      <c r="F6" s="63" t="n">
        <v>100</v>
      </c>
      <c r="G6" s="63">
        <f>C6+E6+F6</f>
        <v/>
      </c>
      <c r="H6" s="89">
        <f>H5+G6</f>
        <v/>
      </c>
    </row>
    <row r="7">
      <c r="A7" s="24" t="inlineStr">
        <is>
          <t>May 2026</t>
        </is>
      </c>
      <c r="B7" s="86" t="n">
        <v>6</v>
      </c>
      <c r="C7" s="61">
        <f>B7*250</f>
        <v/>
      </c>
      <c r="D7" s="86" t="n">
        <v>2</v>
      </c>
      <c r="E7" s="61">
        <f>D7*79</f>
        <v/>
      </c>
      <c r="F7" s="61" t="n">
        <v>150</v>
      </c>
      <c r="G7" s="61">
        <f>C7+E7+F7</f>
        <v/>
      </c>
      <c r="H7" s="87">
        <f>H6+G7</f>
        <v/>
      </c>
    </row>
    <row r="8">
      <c r="A8" s="28" t="inlineStr">
        <is>
          <t>Jun 2026</t>
        </is>
      </c>
      <c r="B8" s="88" t="n">
        <v>7</v>
      </c>
      <c r="C8" s="63">
        <f>B8*250</f>
        <v/>
      </c>
      <c r="D8" s="88" t="n">
        <v>2</v>
      </c>
      <c r="E8" s="63">
        <f>D8*79</f>
        <v/>
      </c>
      <c r="F8" s="63" t="n">
        <v>125</v>
      </c>
      <c r="G8" s="63">
        <f>C8+E8+F8</f>
        <v/>
      </c>
      <c r="H8" s="89">
        <f>H7+G8</f>
        <v/>
      </c>
    </row>
    <row r="9">
      <c r="A9" s="24" t="inlineStr">
        <is>
          <t>Jul 2026</t>
        </is>
      </c>
      <c r="B9" s="86" t="n">
        <v>8</v>
      </c>
      <c r="C9" s="61">
        <f>B9*250</f>
        <v/>
      </c>
      <c r="D9" s="86" t="n">
        <v>3</v>
      </c>
      <c r="E9" s="61">
        <f>D9*79</f>
        <v/>
      </c>
      <c r="F9" s="61" t="n">
        <v>175</v>
      </c>
      <c r="G9" s="61">
        <f>C9+E9+F9</f>
        <v/>
      </c>
      <c r="H9" s="87">
        <f>H8+G9</f>
        <v/>
      </c>
    </row>
    <row r="10">
      <c r="A10" s="28" t="inlineStr">
        <is>
          <t>Aug 2026</t>
        </is>
      </c>
      <c r="B10" s="88" t="n">
        <v>9</v>
      </c>
      <c r="C10" s="63">
        <f>B10*250</f>
        <v/>
      </c>
      <c r="D10" s="88" t="n">
        <v>3</v>
      </c>
      <c r="E10" s="63">
        <f>D10*79</f>
        <v/>
      </c>
      <c r="F10" s="63" t="n">
        <v>200</v>
      </c>
      <c r="G10" s="63">
        <f>C10+E10+F10</f>
        <v/>
      </c>
      <c r="H10" s="89">
        <f>H9+G10</f>
        <v/>
      </c>
    </row>
    <row r="11">
      <c r="A11" s="24" t="inlineStr">
        <is>
          <t>Sep 2026</t>
        </is>
      </c>
      <c r="B11" s="86" t="n">
        <v>11</v>
      </c>
      <c r="C11" s="61">
        <f>B11*250</f>
        <v/>
      </c>
      <c r="D11" s="86" t="n">
        <v>4</v>
      </c>
      <c r="E11" s="61">
        <f>D11*79</f>
        <v/>
      </c>
      <c r="F11" s="61" t="n">
        <v>225</v>
      </c>
      <c r="G11" s="61">
        <f>C11+E11+F11</f>
        <v/>
      </c>
      <c r="H11" s="87">
        <f>H10+G11</f>
        <v/>
      </c>
    </row>
    <row r="12">
      <c r="A12" s="28" t="inlineStr">
        <is>
          <t>Oct 2026</t>
        </is>
      </c>
      <c r="B12" s="88" t="n">
        <v>12</v>
      </c>
      <c r="C12" s="63">
        <f>B12*250</f>
        <v/>
      </c>
      <c r="D12" s="88" t="n">
        <v>5</v>
      </c>
      <c r="E12" s="63">
        <f>D12*79</f>
        <v/>
      </c>
      <c r="F12" s="63" t="n">
        <v>250</v>
      </c>
      <c r="G12" s="63">
        <f>C12+E12+F12</f>
        <v/>
      </c>
      <c r="H12" s="89">
        <f>H11+G12</f>
        <v/>
      </c>
    </row>
    <row r="13">
      <c r="A13" s="24" t="inlineStr">
        <is>
          <t>Nov 2026</t>
        </is>
      </c>
      <c r="B13" s="86" t="n">
        <v>14</v>
      </c>
      <c r="C13" s="61">
        <f>B13*250</f>
        <v/>
      </c>
      <c r="D13" s="86" t="n">
        <v>5</v>
      </c>
      <c r="E13" s="61">
        <f>D13*79</f>
        <v/>
      </c>
      <c r="F13" s="61" t="n">
        <v>300</v>
      </c>
      <c r="G13" s="61">
        <f>C13+E13+F13</f>
        <v/>
      </c>
      <c r="H13" s="87">
        <f>H12+G13</f>
        <v/>
      </c>
    </row>
    <row r="14">
      <c r="A14" s="32" t="inlineStr">
        <is>
          <t>Dec 2026</t>
        </is>
      </c>
      <c r="B14" s="90" t="n">
        <v>15</v>
      </c>
      <c r="C14" s="74">
        <f>B14*250</f>
        <v/>
      </c>
      <c r="D14" s="90" t="n">
        <v>6</v>
      </c>
      <c r="E14" s="74">
        <f>D14*79</f>
        <v/>
      </c>
      <c r="F14" s="74" t="n">
        <v>350</v>
      </c>
      <c r="G14" s="74">
        <f>C14+E14+F14</f>
        <v/>
      </c>
      <c r="H14" s="91">
        <f>H13+G14</f>
        <v/>
      </c>
    </row>
    <row r="15">
      <c r="A15" s="92" t="inlineStr">
        <is>
          <t>ANNUAL TOTAL</t>
        </is>
      </c>
      <c r="B15" s="93">
        <f>SUM(B3:B14)</f>
        <v/>
      </c>
      <c r="C15" s="94">
        <f>SUM(C3:C14)</f>
        <v/>
      </c>
      <c r="D15" s="93">
        <f>SUM(D3:D14)</f>
        <v/>
      </c>
      <c r="E15" s="94">
        <f>SUM(E3:E14)</f>
        <v/>
      </c>
      <c r="F15" s="94">
        <f>SUM(F3:F14)</f>
        <v/>
      </c>
      <c r="G15" s="94">
        <f>SUM(G3:G14)</f>
        <v/>
      </c>
      <c r="H15" s="95">
        <f>H14</f>
        <v/>
      </c>
    </row>
    <row r="16"/>
    <row r="17" ht="22" customHeight="1">
      <c r="A17" s="96" t="inlineStr">
        <is>
          <t>Summary &amp; Break-Even Analysis</t>
        </is>
      </c>
      <c r="B17" s="102" t="n"/>
      <c r="C17" s="102" t="n"/>
      <c r="D17" s="103" t="n"/>
    </row>
    <row r="18">
      <c r="A18" s="99" t="inlineStr">
        <is>
          <t>Annual Revenue Projection ($)</t>
        </is>
      </c>
      <c r="B18" s="61">
        <f>G15</f>
        <v/>
      </c>
      <c r="C18" s="48" t="n"/>
      <c r="D18" s="25" t="n"/>
    </row>
    <row r="19">
      <c r="A19" s="100" t="inlineStr">
        <is>
          <t>Average Monthly Revenue ($)</t>
        </is>
      </c>
      <c r="B19" s="63">
        <f>G15/12</f>
        <v/>
      </c>
      <c r="C19" s="52" t="n"/>
      <c r="D19" s="29" t="n"/>
    </row>
    <row r="20">
      <c r="A20" s="99" t="inlineStr">
        <is>
          <t>Total Forge Boost Revenue ($)</t>
        </is>
      </c>
      <c r="B20" s="61">
        <f>E15</f>
        <v/>
      </c>
      <c r="C20" s="48" t="n"/>
      <c r="D20" s="25" t="n"/>
    </row>
    <row r="21">
      <c r="A21" s="100" t="inlineStr">
        <is>
          <t>Total Standard Revenue ($)</t>
        </is>
      </c>
      <c r="B21" s="63">
        <f>C15</f>
        <v/>
      </c>
      <c r="C21" s="52" t="n"/>
      <c r="D21" s="29" t="n"/>
    </row>
    <row r="22">
      <c r="A22" s="99" t="inlineStr">
        <is>
          <t>Total Rush Surcharges ($)</t>
        </is>
      </c>
      <c r="B22" s="61">
        <f>F15</f>
        <v/>
      </c>
      <c r="C22" s="48" t="n"/>
      <c r="D22" s="25" t="n"/>
    </row>
    <row r="23">
      <c r="A23" s="100" t="inlineStr">
        <is>
          <t>Monthly Operating Costs ($)</t>
        </is>
      </c>
      <c r="B23" s="52" t="n">
        <v>300</v>
      </c>
      <c r="C23" s="52" t="n"/>
      <c r="D23" s="29" t="n"/>
    </row>
    <row r="24">
      <c r="A24" s="99" t="inlineStr">
        <is>
          <t>Annual Operating Costs ($)</t>
        </is>
      </c>
      <c r="B24" s="61">
        <f>B23*12</f>
        <v/>
      </c>
      <c r="C24" s="48" t="n"/>
      <c r="D24" s="25" t="n"/>
    </row>
    <row r="25">
      <c r="A25" s="100" t="inlineStr">
        <is>
          <t>Net Annual Profit ($)</t>
        </is>
      </c>
      <c r="B25" s="63">
        <f>G15-B24</f>
        <v/>
      </c>
      <c r="C25" s="52" t="n"/>
      <c r="D25" s="29" t="n"/>
    </row>
    <row r="26">
      <c r="A26" s="101" t="inlineStr">
        <is>
          <t>Break-Even Month (cost $300/mo)</t>
        </is>
      </c>
      <c r="B26" s="57">
        <f>IFERROR(INDEX(A3:A14,MATCH(TRUE,MMULT((ROW(G3:G14)-ROW(G3)+1&gt;=1)*1,TRANSPOSE((G3:G14&gt;={300})*1))&gt;=1,0)),"Not reached")</f>
        <v/>
      </c>
      <c r="C26" s="57" t="n"/>
      <c r="D26" s="82" t="n"/>
    </row>
  </sheetData>
  <mergeCells count="2">
    <mergeCell ref="A17:D17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 ht="30" customHeight="1">
      <c r="A1" s="46" t="inlineStr">
        <is>
          <t>EchoForge — Apps Script Reference (Read-Only)</t>
        </is>
      </c>
    </row>
    <row r="2" ht="22" customHeight="1">
      <c r="A2" s="104" t="inlineStr">
        <is>
          <t>Install in Extensions &gt; Apps Script &gt; onFormSubmit trigger</t>
        </is>
      </c>
    </row>
    <row r="3" ht="18" customHeight="1">
      <c r="A3" s="105" t="inlineStr">
        <is>
          <t>Copy the code below into your Google Apps Script editor. Attach to onFormSubmit trigger on the Creator Applications sheet.</t>
        </is>
      </c>
    </row>
    <row r="4" ht="8" customHeight="1"/>
    <row r="5" ht="20" customHeight="1">
      <c r="A5" s="106" t="inlineStr">
        <is>
          <t>FUNCTION: matchCreator(e)</t>
        </is>
      </c>
    </row>
    <row r="6" ht="28" customHeight="1">
      <c r="A6" s="107" t="inlineStr">
        <is>
          <t>Purpose: Matches new creator applications to open client projects by skill type, appends to Deliveries Pipeline, updates Assigned Creator, and emails the creator.</t>
        </is>
      </c>
    </row>
    <row r="7" ht="8" customHeight="1"/>
    <row r="8" ht="15" customHeight="1">
      <c r="A8" s="134" t="inlineStr">
        <is>
          <t>function matchCreator(e) {</t>
        </is>
      </c>
      <c r="B8" s="37" t="n"/>
      <c r="C8" s="37" t="n"/>
      <c r="D8" s="37" t="n"/>
      <c r="E8" s="37" t="n"/>
      <c r="F8" s="38" t="n"/>
    </row>
    <row r="9" ht="15" customHeight="1">
      <c r="A9" s="135" t="inlineStr">
        <is>
          <t xml:space="preserve">  // Get the active spreadsheet and relevant sheets</t>
        </is>
      </c>
      <c r="F9" s="40" t="n"/>
    </row>
    <row r="10" ht="15" customHeight="1">
      <c r="A10" s="136" t="inlineStr">
        <is>
          <t xml:space="preserve">  var ss = SpreadsheetApp.getActiveSpreadsheet();</t>
        </is>
      </c>
      <c r="F10" s="40" t="n"/>
    </row>
    <row r="11" ht="15" customHeight="1">
      <c r="A11" s="136" t="inlineStr">
        <is>
          <t xml:space="preserve">  var appsSheet = ss.getSheetByName('Creator Applications');</t>
        </is>
      </c>
      <c r="F11" s="40" t="n"/>
    </row>
    <row r="12" ht="15" customHeight="1">
      <c r="A12" s="136" t="inlineStr">
        <is>
          <t xml:space="preserve">  var projectsSheet = ss.getSheetByName('Client Projects');</t>
        </is>
      </c>
      <c r="F12" s="40" t="n"/>
    </row>
    <row r="13" ht="15" customHeight="1">
      <c r="A13" s="136" t="inlineStr">
        <is>
          <t xml:space="preserve">  var pipelineSheet = ss.getSheetByName('Deliveries Pipeline');</t>
        </is>
      </c>
      <c r="F13" s="40" t="n"/>
    </row>
    <row r="14" ht="15" customHeight="1">
      <c r="A14" s="136" t="inlineStr"/>
      <c r="F14" s="40" t="n"/>
    </row>
    <row r="15" ht="15" customHeight="1">
      <c r="A15" s="135" t="inlineStr">
        <is>
          <t xml:space="preserve">  // Read the newly submitted creator application row</t>
        </is>
      </c>
      <c r="F15" s="40" t="n"/>
    </row>
    <row r="16" ht="15" customHeight="1">
      <c r="A16" s="136" t="inlineStr">
        <is>
          <t xml:space="preserve">  var lastRow = appsSheet.getLastRow();</t>
        </is>
      </c>
      <c r="F16" s="40" t="n"/>
    </row>
    <row r="17" ht="15" customHeight="1">
      <c r="A17" s="136" t="inlineStr">
        <is>
          <t xml:space="preserve">  var appData = appsSheet.getRange(lastRow, 1, 1, 10).getValues()[0];</t>
        </is>
      </c>
      <c r="F17" s="40" t="n"/>
    </row>
    <row r="18" ht="15" customHeight="1">
      <c r="A18" s="136" t="inlineStr"/>
      <c r="F18" s="40" t="n"/>
    </row>
    <row r="19" ht="15" customHeight="1">
      <c r="A19" s="136" t="inlineStr">
        <is>
          <t xml:space="preserve">  var submissionDate = appData[0];</t>
        </is>
      </c>
      <c r="F19" s="40" t="n"/>
    </row>
    <row r="20" ht="15" customHeight="1">
      <c r="A20" s="136" t="inlineStr">
        <is>
          <t xml:space="preserve">  var creatorName    = appData[1];</t>
        </is>
      </c>
      <c r="F20" s="40" t="n"/>
    </row>
    <row r="21" ht="15" customHeight="1">
      <c r="A21" s="136" t="inlineStr">
        <is>
          <t xml:space="preserve">  var primarySkill   = appData[2];</t>
        </is>
      </c>
      <c r="F21" s="40" t="n"/>
    </row>
    <row r="22" ht="15" customHeight="1">
      <c r="A22" s="136" t="inlineStr">
        <is>
          <t xml:space="preserve">  var hourlyRate     = appData[5];</t>
        </is>
      </c>
      <c r="F22" s="40" t="n"/>
    </row>
    <row r="23" ht="15" customHeight="1">
      <c r="A23" s="136" t="inlineStr">
        <is>
          <t xml:space="preserve">  var creatorEmail   = '';  // Add email column to Applications sheet if needed</t>
        </is>
      </c>
      <c r="F23" s="40" t="n"/>
    </row>
    <row r="24" ht="15" customHeight="1">
      <c r="A24" s="136" t="inlineStr"/>
      <c r="F24" s="40" t="n"/>
    </row>
    <row r="25" ht="15" customHeight="1">
      <c r="A25" s="135" t="inlineStr">
        <is>
          <t xml:space="preserve">  // Scan Client Projects for an open project matching the skill type</t>
        </is>
      </c>
      <c r="F25" s="40" t="n"/>
    </row>
    <row r="26" ht="15" customHeight="1">
      <c r="A26" s="136" t="inlineStr">
        <is>
          <t xml:space="preserve">  var projectData = projectsSheet.getDataRange().getValues();</t>
        </is>
      </c>
      <c r="F26" s="40" t="n"/>
    </row>
    <row r="27" ht="15" customHeight="1">
      <c r="A27" s="136" t="inlineStr">
        <is>
          <t xml:space="preserve">  var matchedProject = null;</t>
        </is>
      </c>
      <c r="F27" s="40" t="n"/>
    </row>
    <row r="28" ht="15" customHeight="1">
      <c r="A28" s="136" t="inlineStr">
        <is>
          <t xml:space="preserve">  var matchedRow = -1;</t>
        </is>
      </c>
      <c r="F28" s="40" t="n"/>
    </row>
    <row r="29" ht="15" customHeight="1">
      <c r="A29" s="136" t="inlineStr"/>
      <c r="F29" s="40" t="n"/>
    </row>
    <row r="30" ht="15" customHeight="1">
      <c r="A30" s="136" t="inlineStr">
        <is>
          <t xml:space="preserve">  for (var i = 1; i &lt; projectData.length; i++) {</t>
        </is>
      </c>
      <c r="F30" s="40" t="n"/>
    </row>
    <row r="31" ht="15" customHeight="1">
      <c r="A31" s="136" t="inlineStr">
        <is>
          <t xml:space="preserve">    var projStatus      = projectData[i][11];  // Column L: Status</t>
        </is>
      </c>
      <c r="F31" s="40" t="n"/>
    </row>
    <row r="32" ht="15" customHeight="1">
      <c r="A32" s="136" t="inlineStr">
        <is>
          <t xml:space="preserve">    var projServiceType = projectData[i][5];   // Column F: Service Type</t>
        </is>
      </c>
      <c r="F32" s="40" t="n"/>
    </row>
    <row r="33" ht="15" customHeight="1">
      <c r="A33" s="136" t="inlineStr">
        <is>
          <t xml:space="preserve">    var assignedCreator = projectData[i][12];  // Column M: Assigned Creator</t>
        </is>
      </c>
      <c r="F33" s="40" t="n"/>
    </row>
    <row r="34" ht="15" customHeight="1">
      <c r="A34" s="136" t="inlineStr"/>
      <c r="F34" s="40" t="n"/>
    </row>
    <row r="35" ht="15" customHeight="1">
      <c r="A35" s="136" t="inlineStr">
        <is>
          <t xml:space="preserve">    if ((projStatus === 'New' || projStatus === 'In Progress') &amp;&amp;</t>
        </is>
      </c>
      <c r="F35" s="40" t="n"/>
    </row>
    <row r="36" ht="15" customHeight="1">
      <c r="A36" s="136" t="inlineStr">
        <is>
          <t xml:space="preserve">        projServiceType === primarySkill &amp;&amp;</t>
        </is>
      </c>
      <c r="F36" s="40" t="n"/>
    </row>
    <row r="37" ht="15" customHeight="1">
      <c r="A37" s="136" t="inlineStr">
        <is>
          <t xml:space="preserve">        assignedCreator === '') {</t>
        </is>
      </c>
      <c r="F37" s="40" t="n"/>
    </row>
    <row r="38" ht="15" customHeight="1">
      <c r="A38" s="136" t="inlineStr">
        <is>
          <t xml:space="preserve">      matchedProject = projectData[i];</t>
        </is>
      </c>
      <c r="F38" s="40" t="n"/>
    </row>
    <row r="39" ht="15" customHeight="1">
      <c r="A39" s="136" t="inlineStr">
        <is>
          <t xml:space="preserve">      matchedRow = i + 1;</t>
        </is>
      </c>
      <c r="F39" s="40" t="n"/>
    </row>
    <row r="40" ht="15" customHeight="1">
      <c r="A40" s="136" t="inlineStr">
        <is>
          <t xml:space="preserve">      break;</t>
        </is>
      </c>
      <c r="F40" s="40" t="n"/>
    </row>
    <row r="41" ht="15" customHeight="1">
      <c r="A41" s="136" t="inlineStr">
        <is>
          <t xml:space="preserve">    }</t>
        </is>
      </c>
      <c r="F41" s="40" t="n"/>
    </row>
    <row r="42" ht="15" customHeight="1">
      <c r="A42" s="136" t="inlineStr">
        <is>
          <t xml:space="preserve">  }</t>
        </is>
      </c>
      <c r="F42" s="40" t="n"/>
    </row>
    <row r="43" ht="15" customHeight="1">
      <c r="A43" s="136" t="inlineStr"/>
      <c r="F43" s="40" t="n"/>
    </row>
    <row r="44" ht="15" customHeight="1">
      <c r="A44" s="135" t="inlineStr">
        <is>
          <t xml:space="preserve">  // If no match found, exit gracefully</t>
        </is>
      </c>
      <c r="F44" s="40" t="n"/>
    </row>
    <row r="45" ht="15" customHeight="1">
      <c r="A45" s="136" t="inlineStr">
        <is>
          <t xml:space="preserve">  if (!matchedProject) {</t>
        </is>
      </c>
      <c r="F45" s="40" t="n"/>
    </row>
    <row r="46" ht="15" customHeight="1">
      <c r="A46" s="136" t="inlineStr">
        <is>
          <t xml:space="preserve">    Logger.log('No matching open project found for skill: ' + primarySkill);</t>
        </is>
      </c>
      <c r="F46" s="40" t="n"/>
    </row>
    <row r="47" ht="15" customHeight="1">
      <c r="A47" s="136" t="inlineStr">
        <is>
          <t xml:space="preserve">    return;</t>
        </is>
      </c>
      <c r="F47" s="40" t="n"/>
    </row>
    <row r="48" ht="15" customHeight="1">
      <c r="A48" s="136" t="inlineStr">
        <is>
          <t xml:space="preserve">  }</t>
        </is>
      </c>
      <c r="F48" s="40" t="n"/>
    </row>
    <row r="49" ht="15" customHeight="1">
      <c r="A49" s="136" t="inlineStr"/>
      <c r="F49" s="40" t="n"/>
    </row>
    <row r="50" ht="15" customHeight="1">
      <c r="A50" s="136" t="inlineStr">
        <is>
          <t xml:space="preserve">  var projectId    = matchedProject[0];   // Column A: ID</t>
        </is>
      </c>
      <c r="F50" s="40" t="n"/>
    </row>
    <row r="51" ht="15" customHeight="1">
      <c r="A51" s="136" t="inlineStr">
        <is>
          <t xml:space="preserve">  var projectTitle = matchedProject[6];   // Column G: Project Title</t>
        </is>
      </c>
      <c r="F51" s="40" t="n"/>
    </row>
    <row r="52" ht="15" customHeight="1">
      <c r="A52" s="136" t="inlineStr">
        <is>
          <t xml:space="preserve">  var clientName   = matchedProject[2];   // Column C: Client Name</t>
        </is>
      </c>
      <c r="F52" s="40" t="n"/>
    </row>
    <row r="53" ht="15" customHeight="1">
      <c r="A53" s="136" t="inlineStr">
        <is>
          <t xml:space="preserve">  var budget       = matchedProject[9];   // Column J: Budget ($)</t>
        </is>
      </c>
      <c r="F53" s="40" t="n"/>
    </row>
    <row r="54" ht="15" customHeight="1">
      <c r="A54" s="136" t="inlineStr">
        <is>
          <t xml:space="preserve">  var clientEmail  = matchedProject[3];   // Column D: Email</t>
        </is>
      </c>
      <c r="F54" s="40" t="n"/>
    </row>
    <row r="55" ht="15" customHeight="1">
      <c r="A55" s="136" t="inlineStr"/>
      <c r="F55" s="40" t="n"/>
    </row>
    <row r="56" ht="15" customHeight="1">
      <c r="A56" s="135" t="inlineStr">
        <is>
          <t xml:space="preserve">  // Append a new row to Deliveries Pipeline</t>
        </is>
      </c>
      <c r="F56" s="40" t="n"/>
    </row>
    <row r="57" ht="15" customHeight="1">
      <c r="A57" s="136" t="inlineStr">
        <is>
          <t xml:space="preserve">  var today = new Date();</t>
        </is>
      </c>
      <c r="F57" s="40" t="n"/>
    </row>
    <row r="58" ht="15" customHeight="1">
      <c r="A58" s="136" t="inlineStr">
        <is>
          <t xml:space="preserve">  var pipelineRow = [</t>
        </is>
      </c>
      <c r="F58" s="40" t="n"/>
    </row>
    <row r="59" ht="15" customHeight="1">
      <c r="A59" s="136" t="inlineStr">
        <is>
          <t xml:space="preserve">    today,           // Match Date</t>
        </is>
      </c>
      <c r="F59" s="40" t="n"/>
    </row>
    <row r="60" ht="15" customHeight="1">
      <c r="A60" s="136" t="inlineStr">
        <is>
          <t xml:space="preserve">    clientName,      // Client Name</t>
        </is>
      </c>
      <c r="F60" s="40" t="n"/>
    </row>
    <row r="61" ht="15" customHeight="1">
      <c r="A61" s="136" t="inlineStr">
        <is>
          <t xml:space="preserve">    clientEmail,     // Client Contact</t>
        </is>
      </c>
      <c r="F61" s="40" t="n"/>
    </row>
    <row r="62" ht="15" customHeight="1">
      <c r="A62" s="136" t="inlineStr">
        <is>
          <t xml:space="preserve">    creatorName,     // Creator Name</t>
        </is>
      </c>
      <c r="F62" s="40" t="n"/>
    </row>
    <row r="63" ht="15" customHeight="1">
      <c r="A63" s="136" t="inlineStr">
        <is>
          <t xml:space="preserve">    creatorEmail,    // Creator Contact</t>
        </is>
      </c>
      <c r="F63" s="40" t="n"/>
    </row>
    <row r="64" ht="15" customHeight="1">
      <c r="A64" s="136" t="inlineStr">
        <is>
          <t xml:space="preserve">    primarySkill,    // Service Type</t>
        </is>
      </c>
      <c r="F64" s="40" t="n"/>
    </row>
    <row r="65" ht="15" customHeight="1">
      <c r="A65" s="136" t="inlineStr">
        <is>
          <t xml:space="preserve">    'Auto',          // Match Type</t>
        </is>
      </c>
      <c r="F65" s="40" t="n"/>
    </row>
    <row r="66" ht="15" customHeight="1">
      <c r="A66" s="136" t="inlineStr">
        <is>
          <t xml:space="preserve">    'Pending',       // Status</t>
        </is>
      </c>
      <c r="F66" s="40" t="n"/>
    </row>
    <row r="67" ht="15" customHeight="1">
      <c r="A67" s="136" t="inlineStr">
        <is>
          <t xml:space="preserve">    'No',            // Forge Boost</t>
        </is>
      </c>
      <c r="F67" s="40" t="n"/>
    </row>
    <row r="68" ht="15" customHeight="1">
      <c r="A68" s="136" t="inlineStr">
        <is>
          <t xml:space="preserve">    budget,          // Revenue ($)</t>
        </is>
      </c>
      <c r="F68" s="40" t="n"/>
    </row>
    <row r="69" ht="15" customHeight="1">
      <c r="A69" s="136" t="inlineStr">
        <is>
          <t xml:space="preserve">    'Auto-matched via onFormSubmit — ' + projectId</t>
        </is>
      </c>
      <c r="F69" s="40" t="n"/>
    </row>
    <row r="70" ht="15" customHeight="1">
      <c r="A70" s="136" t="inlineStr">
        <is>
          <t xml:space="preserve">  ];</t>
        </is>
      </c>
      <c r="F70" s="40" t="n"/>
    </row>
    <row r="71" ht="15" customHeight="1">
      <c r="A71" s="136" t="inlineStr">
        <is>
          <t xml:space="preserve">  pipelineSheet.appendRow(pipelineRow);</t>
        </is>
      </c>
      <c r="F71" s="40" t="n"/>
    </row>
    <row r="72" ht="15" customHeight="1">
      <c r="A72" s="136" t="inlineStr"/>
      <c r="F72" s="40" t="n"/>
    </row>
    <row r="73" ht="15" customHeight="1">
      <c r="A73" s="135" t="inlineStr">
        <is>
          <t xml:space="preserve">  // Update Assigned Creator on the matched Client Project row</t>
        </is>
      </c>
      <c r="F73" s="40" t="n"/>
    </row>
    <row r="74" ht="15" customHeight="1">
      <c r="A74" s="136" t="inlineStr">
        <is>
          <t xml:space="preserve">  projectsSheet.getRange(matchedRow, 13).setValue(creatorName);</t>
        </is>
      </c>
      <c r="F74" s="40" t="n"/>
    </row>
    <row r="75" ht="15" customHeight="1">
      <c r="A75" s="136" t="inlineStr">
        <is>
          <t xml:space="preserve">  projectsSheet.getRange(matchedRow, 12).setValue('Matched');</t>
        </is>
      </c>
      <c r="F75" s="40" t="n"/>
    </row>
    <row r="76" ht="15" customHeight="1">
      <c r="A76" s="136" t="inlineStr"/>
      <c r="F76" s="40" t="n"/>
    </row>
    <row r="77" ht="15" customHeight="1">
      <c r="A77" s="135" t="inlineStr">
        <is>
          <t xml:space="preserve">  // Send email notification to the creator</t>
        </is>
      </c>
      <c r="F77" s="40" t="n"/>
    </row>
    <row r="78" ht="15" customHeight="1">
      <c r="A78" s="136" t="inlineStr">
        <is>
          <t xml:space="preserve">  if (creatorEmail !== '') {</t>
        </is>
      </c>
      <c r="F78" s="40" t="n"/>
    </row>
    <row r="79" ht="15" customHeight="1">
      <c r="A79" s="136" t="inlineStr">
        <is>
          <t xml:space="preserve">    var subject = 'EchoForge: New Project Match — ' + projectTitle;</t>
        </is>
      </c>
      <c r="F79" s="40" t="n"/>
    </row>
    <row r="80" ht="15" customHeight="1">
      <c r="A80" s="136" t="inlineStr">
        <is>
          <t xml:space="preserve">    var body =</t>
        </is>
      </c>
      <c r="F80" s="40" t="n"/>
    </row>
    <row r="81" ht="15" customHeight="1">
      <c r="A81" s="136" t="inlineStr">
        <is>
          <t xml:space="preserve">      'Hi ' + creatorName + ',\n\n' +</t>
        </is>
      </c>
      <c r="F81" s="40" t="n"/>
    </row>
    <row r="82" ht="15" customHeight="1">
      <c r="A82" s="136" t="inlineStr">
        <is>
          <t xml:space="preserve">      'Great news! You have been matched to a new project on EchoForge.\n\n' +</t>
        </is>
      </c>
      <c r="F82" s="40" t="n"/>
    </row>
    <row r="83" ht="15" customHeight="1">
      <c r="A83" s="136" t="inlineStr">
        <is>
          <t xml:space="preserve">      'Project Name : ' + projectTitle + '\n' +</t>
        </is>
      </c>
      <c r="F83" s="40" t="n"/>
    </row>
    <row r="84" ht="15" customHeight="1">
      <c r="A84" s="136" t="inlineStr">
        <is>
          <t xml:space="preserve">      'Client Name  : ' + clientName + '\n' +</t>
        </is>
      </c>
      <c r="F84" s="40" t="n"/>
    </row>
    <row r="85" ht="15" customHeight="1">
      <c r="A85" s="136" t="inlineStr">
        <is>
          <t xml:space="preserve">      'Budget       : $' + budget + '\n' +</t>
        </is>
      </c>
      <c r="F85" s="40" t="n"/>
    </row>
    <row r="86" ht="15" customHeight="1">
      <c r="A86" s="136" t="inlineStr">
        <is>
          <t xml:space="preserve">      'Service Type : ' + primarySkill + '\n\n' +</t>
        </is>
      </c>
      <c r="F86" s="40" t="n"/>
    </row>
    <row r="87" ht="15" customHeight="1">
      <c r="A87" s="136" t="inlineStr">
        <is>
          <t xml:space="preserve">      'Please log in to EchoForge to review the project details and confirm your availability.\n\n' +</t>
        </is>
      </c>
      <c r="F87" s="40" t="n"/>
    </row>
    <row r="88" ht="15" customHeight="1">
      <c r="A88" s="136" t="inlineStr">
        <is>
          <t xml:space="preserve">      'Where Ideas Take Shape.\n' +</t>
        </is>
      </c>
      <c r="F88" s="40" t="n"/>
    </row>
    <row r="89" ht="15" customHeight="1">
      <c r="A89" s="136" t="inlineStr">
        <is>
          <t xml:space="preserve">      'The EchoForge Team';</t>
        </is>
      </c>
      <c r="F89" s="40" t="n"/>
    </row>
    <row r="90" ht="15" customHeight="1">
      <c r="A90" s="136" t="inlineStr">
        <is>
          <t xml:space="preserve">    MailApp.sendEmail(creatorEmail, subject, body);</t>
        </is>
      </c>
      <c r="F90" s="40" t="n"/>
    </row>
    <row r="91" ht="15" customHeight="1">
      <c r="A91" s="136" t="inlineStr">
        <is>
          <t xml:space="preserve">    Logger.log('Email sent to: ' + creatorEmail);</t>
        </is>
      </c>
      <c r="F91" s="40" t="n"/>
    </row>
    <row r="92" ht="15" customHeight="1">
      <c r="A92" s="136" t="inlineStr">
        <is>
          <t xml:space="preserve">  }</t>
        </is>
      </c>
      <c r="F92" s="40" t="n"/>
    </row>
    <row r="93" ht="15" customHeight="1">
      <c r="A93" s="136" t="inlineStr"/>
      <c r="F93" s="40" t="n"/>
    </row>
    <row r="94" ht="15" customHeight="1">
      <c r="A94" s="136" t="inlineStr">
        <is>
          <t xml:space="preserve">  Logger.log('Match complete: ' + creatorName + ' -&gt; ' + projectTitle);</t>
        </is>
      </c>
      <c r="F94" s="40" t="n"/>
    </row>
    <row r="95" ht="15" customHeight="1">
      <c r="A95" s="137" t="inlineStr">
        <is>
          <t>}</t>
        </is>
      </c>
      <c r="B95" s="44" t="n"/>
      <c r="C95" s="44" t="n"/>
      <c r="D95" s="44" t="n"/>
      <c r="E95" s="44" t="n"/>
      <c r="F95" s="45" t="n"/>
    </row>
    <row r="96"/>
    <row r="97" ht="20" customHeight="1">
      <c r="A97" s="118" t="inlineStr">
        <is>
          <t>SETUP NOTES</t>
        </is>
      </c>
    </row>
    <row r="98" ht="15" customHeight="1">
      <c r="A98" s="119" t="inlineStr">
        <is>
          <t>1. Open your Google Sheet → Extensions → Apps Script</t>
        </is>
      </c>
    </row>
    <row r="99" ht="15" customHeight="1">
      <c r="A99" s="119" t="inlineStr">
        <is>
          <t>2. Paste the function above into the editor and save (Ctrl+S / Cmd+S)</t>
        </is>
      </c>
    </row>
    <row r="100" ht="15" customHeight="1">
      <c r="A100" s="119" t="inlineStr">
        <is>
          <t>3. Click the clock icon (Triggers) → Add Trigger</t>
        </is>
      </c>
    </row>
    <row r="101" ht="15" customHeight="1">
      <c r="A101" s="119" t="inlineStr">
        <is>
          <t>4. Choose function: matchCreator | Event source: From spreadsheet | Event type: On form submit</t>
        </is>
      </c>
    </row>
    <row r="102" ht="15" customHeight="1">
      <c r="A102" s="119" t="inlineStr">
        <is>
          <t>5. Add an Email column to Creator Applications if you want email notifications to fire</t>
        </is>
      </c>
    </row>
    <row r="103" ht="15" customHeight="1">
      <c r="A103" s="119" t="inlineStr">
        <is>
          <t>6. Test by submitting a new creator application that matches an open project skill</t>
        </is>
      </c>
    </row>
    <row r="104" ht="15" customHeight="1">
      <c r="A104" s="119" t="inlineStr">
        <is>
          <t>7. Check Deliveries Pipeline and Client Projects for the auto-matched row</t>
        </is>
      </c>
    </row>
  </sheetData>
  <mergeCells count="101">
    <mergeCell ref="A84:F84"/>
    <mergeCell ref="A66:F66"/>
    <mergeCell ref="A75:F75"/>
    <mergeCell ref="A50:F50"/>
    <mergeCell ref="A3:F3"/>
    <mergeCell ref="A55:F55"/>
    <mergeCell ref="A86:F86"/>
    <mergeCell ref="A95:F95"/>
    <mergeCell ref="A47:F47"/>
    <mergeCell ref="A5:F5"/>
    <mergeCell ref="A32:F32"/>
    <mergeCell ref="A97:F97"/>
    <mergeCell ref="A20:F20"/>
    <mergeCell ref="A72:F72"/>
    <mergeCell ref="A29:F29"/>
    <mergeCell ref="A81:F81"/>
    <mergeCell ref="A38:F38"/>
    <mergeCell ref="A13:F13"/>
    <mergeCell ref="A44:F44"/>
    <mergeCell ref="A31:F31"/>
    <mergeCell ref="A58:F58"/>
    <mergeCell ref="A40:F40"/>
    <mergeCell ref="A15:F15"/>
    <mergeCell ref="A64:F64"/>
    <mergeCell ref="A24:F24"/>
    <mergeCell ref="A73:F73"/>
    <mergeCell ref="A51:F51"/>
    <mergeCell ref="A82:F82"/>
    <mergeCell ref="A60:F60"/>
    <mergeCell ref="A70:F70"/>
    <mergeCell ref="A41:F41"/>
    <mergeCell ref="A16:F16"/>
    <mergeCell ref="A99:F99"/>
    <mergeCell ref="A27:F27"/>
    <mergeCell ref="A18:F18"/>
    <mergeCell ref="A101:F101"/>
    <mergeCell ref="A2:F2"/>
    <mergeCell ref="A33:F33"/>
    <mergeCell ref="A85:F85"/>
    <mergeCell ref="A42:F42"/>
    <mergeCell ref="A22:F22"/>
    <mergeCell ref="A35:F35"/>
    <mergeCell ref="A62:F62"/>
    <mergeCell ref="A28:F28"/>
    <mergeCell ref="A9:F9"/>
    <mergeCell ref="A48:F48"/>
    <mergeCell ref="A30:F30"/>
    <mergeCell ref="A59:F59"/>
    <mergeCell ref="A11:F11"/>
    <mergeCell ref="A98:F98"/>
    <mergeCell ref="A79:F79"/>
    <mergeCell ref="A61:F61"/>
    <mergeCell ref="A88:F88"/>
    <mergeCell ref="A54:F54"/>
    <mergeCell ref="A46:F46"/>
    <mergeCell ref="A90:F90"/>
    <mergeCell ref="A74:F74"/>
    <mergeCell ref="A56:F56"/>
    <mergeCell ref="A26:F26"/>
    <mergeCell ref="A71:F71"/>
    <mergeCell ref="A76:F76"/>
    <mergeCell ref="A8:F8"/>
    <mergeCell ref="A17:F17"/>
    <mergeCell ref="A100:F100"/>
    <mergeCell ref="A53:F53"/>
    <mergeCell ref="A63:F63"/>
    <mergeCell ref="A10:F10"/>
    <mergeCell ref="A93:F93"/>
    <mergeCell ref="A19:F19"/>
    <mergeCell ref="A68:F68"/>
    <mergeCell ref="A102:F102"/>
    <mergeCell ref="A34:F34"/>
    <mergeCell ref="A83:F83"/>
    <mergeCell ref="A92:F92"/>
    <mergeCell ref="A39:F39"/>
    <mergeCell ref="A49:F49"/>
    <mergeCell ref="A36:F36"/>
    <mergeCell ref="A1:F1"/>
    <mergeCell ref="A45:F45"/>
    <mergeCell ref="A94:F94"/>
    <mergeCell ref="A103:F103"/>
    <mergeCell ref="A78:F78"/>
    <mergeCell ref="A87:F87"/>
    <mergeCell ref="A65:F65"/>
    <mergeCell ref="A80:F80"/>
    <mergeCell ref="A37:F37"/>
    <mergeCell ref="A89:F89"/>
    <mergeCell ref="A12:F12"/>
    <mergeCell ref="A21:F21"/>
    <mergeCell ref="A104:F104"/>
    <mergeCell ref="A57:F57"/>
    <mergeCell ref="A14:F14"/>
    <mergeCell ref="A23:F23"/>
    <mergeCell ref="A91:F91"/>
    <mergeCell ref="A43:F43"/>
    <mergeCell ref="A52:F52"/>
    <mergeCell ref="A67:F67"/>
    <mergeCell ref="A77:F77"/>
    <mergeCell ref="A6:F6"/>
    <mergeCell ref="A69:F6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2026-05-23T11:55:07Z</dcterms:created>
  <dcterms:modified xmlns:dcterms="http://purl.org/dc/terms/" xmlns:xsi="http://www.w3.org/2001/XMLSchema-instance" xsi:type="dcterms:W3CDTF">2026-05-23T11:59:30Z</dcterms:modified>
</cp:coreProperties>
</file>